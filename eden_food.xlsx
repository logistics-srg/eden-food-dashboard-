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BASE CLIENTS" sheetId="1" state="visible" r:id="rId1"/>
    <sheet xmlns:r="http://schemas.openxmlformats.org/officeDocument/2006/relationships" name="🚢 COMMANDES" sheetId="2" state="visible" r:id="rId2"/>
    <sheet xmlns:r="http://schemas.openxmlformats.org/officeDocument/2006/relationships" name="📊 TABLEAU DE BORD" sheetId="3" state="visible" r:id="rId3"/>
    <sheet xmlns:r="http://schemas.openxmlformats.org/officeDocument/2006/relationships" name="📖 MODE D'EMPLOI" sheetId="4" state="visible" r:id="rId4"/>
  </sheets>
  <definedNames>
    <definedName name="LISTE_CLIENTS">'📋 BASE CLIENTS'!$B$5:$B$54</definedName>
    <definedName name="LISTE_LICENCES">'📋 BASE CLIENTS'!$G$5:$G$54</definedName>
  </definedNames>
  <calcPr calcId="124519" fullCalcOnLoad="1"/>
</workbook>
</file>

<file path=xl/styles.xml><?xml version="1.0" encoding="utf-8"?>
<styleSheet xmlns="http://schemas.openxmlformats.org/spreadsheetml/2006/main">
  <numFmts count="1">
    <numFmt numFmtId="164" formatCode="DD/MM/YYYY"/>
  </numFmts>
  <fonts count="21">
    <font>
      <name val="Calibri"/>
      <family val="2"/>
      <color theme="1"/>
      <sz val="11"/>
      <scheme val="minor"/>
    </font>
    <font>
      <name val="Calibri"/>
      <b val="1"/>
      <color rgb="00FFFFFF"/>
      <sz val="14"/>
    </font>
    <font>
      <name val="Calibri"/>
      <b val="1"/>
      <color rgb="00FFFFFF"/>
      <sz val="9"/>
    </font>
    <font>
      <name val="Calibri"/>
      <color rgb="00888888"/>
      <sz val="9"/>
    </font>
    <font>
      <name val="Calibri"/>
      <b val="1"/>
      <color rgb="00E67E22"/>
      <sz val="10"/>
    </font>
    <font>
      <name val="Calibri"/>
      <b val="1"/>
      <i val="1"/>
      <color rgb="00E67E22"/>
      <sz val="9"/>
    </font>
    <font>
      <name val="Calibri"/>
      <b val="1"/>
      <color rgb="001E8449"/>
      <sz val="10"/>
    </font>
    <font>
      <name val="Calibri"/>
      <color rgb="006C3483"/>
      <sz val="9"/>
    </font>
    <font>
      <name val="Calibri"/>
      <i val="1"/>
      <color rgb="001E8449"/>
      <sz val="9"/>
    </font>
    <font>
      <name val="Calibri"/>
      <b val="1"/>
      <color rgb="00FFFFFF"/>
      <sz val="15"/>
    </font>
    <font>
      <name val="Calibri"/>
      <b val="1"/>
      <color rgb="006C3483"/>
      <sz val="10"/>
    </font>
    <font>
      <name val="Calibri"/>
      <b val="1"/>
      <color rgb="001A4D8F"/>
      <sz val="10"/>
    </font>
    <font>
      <name val="Calibri"/>
      <b val="1"/>
      <color rgb="00C0392B"/>
      <sz val="10"/>
    </font>
    <font>
      <name val="Calibri"/>
      <i val="1"/>
      <color rgb="00666666"/>
      <sz val="9"/>
    </font>
    <font>
      <name val="Calibri"/>
      <b val="1"/>
      <color rgb="000D1B2A"/>
      <sz val="14"/>
    </font>
    <font>
      <name val="Calibri"/>
      <color rgb="00AAAAAA"/>
      <sz val="10"/>
    </font>
    <font>
      <name val="Calibri"/>
      <b val="1"/>
      <color rgb="001A1A1A"/>
      <sz val="11"/>
    </font>
    <font>
      <name val="Calibri"/>
      <color rgb="001E8449"/>
      <sz val="10"/>
    </font>
    <font>
      <name val="Calibri"/>
      <color rgb="00555555"/>
      <sz val="9"/>
    </font>
    <font>
      <name val="Calibri"/>
      <color rgb="00555555"/>
      <sz val="10"/>
    </font>
    <font>
      <name val="Calibri"/>
      <color rgb="006C3483"/>
      <sz val="10"/>
    </font>
  </fonts>
  <fills count="17">
    <fill>
      <patternFill/>
    </fill>
    <fill>
      <patternFill patternType="gray125"/>
    </fill>
    <fill>
      <patternFill patternType="solid">
        <fgColor rgb="000D1B2A"/>
      </patternFill>
    </fill>
    <fill>
      <patternFill patternType="solid">
        <fgColor rgb="00C8A84B"/>
      </patternFill>
    </fill>
    <fill>
      <patternFill patternType="solid">
        <fgColor rgb="001E8449"/>
      </patternFill>
    </fill>
    <fill>
      <patternFill patternType="solid">
        <fgColor rgb="001A4D8F"/>
      </patternFill>
    </fill>
    <fill>
      <patternFill patternType="solid">
        <fgColor rgb="00E67E22"/>
      </patternFill>
    </fill>
    <fill>
      <patternFill patternType="solid">
        <fgColor rgb="00F5F5F5"/>
      </patternFill>
    </fill>
    <fill>
      <patternFill patternType="solid">
        <fgColor rgb="00E8F8F0"/>
      </patternFill>
    </fill>
    <fill>
      <patternFill patternType="solid">
        <fgColor rgb="00EBF5FB"/>
      </patternFill>
    </fill>
    <fill>
      <patternFill patternType="solid">
        <fgColor rgb="00FEF5E7"/>
      </patternFill>
    </fill>
    <fill>
      <patternFill patternType="solid">
        <fgColor rgb="00FFFFFF"/>
      </patternFill>
    </fill>
    <fill>
      <patternFill patternType="solid">
        <fgColor rgb="006C3483"/>
      </patternFill>
    </fill>
    <fill>
      <patternFill patternType="solid">
        <fgColor rgb="00F4ECF7"/>
      </patternFill>
    </fill>
    <fill>
      <patternFill patternType="solid">
        <fgColor rgb="00FDECEA"/>
      </patternFill>
    </fill>
    <fill>
      <patternFill patternType="solid">
        <fgColor rgb="00C0392B"/>
      </patternFill>
    </fill>
    <fill>
      <patternFill patternType="solid">
        <fgColor rgb="00F0F0F0"/>
      </patternFill>
    </fill>
  </fills>
  <borders count="13">
    <border>
      <left/>
      <right/>
      <top/>
      <bottom/>
      <diagonal/>
    </border>
    <border>
      <left style="thin">
        <color rgb="00FFFFFF"/>
      </left>
      <right style="thin">
        <color rgb="00FFFFFF"/>
      </right>
      <top style="thin">
        <color rgb="00FFFFFF"/>
      </top>
      <bottom style="thin">
        <color rgb="00FFFFFF"/>
      </bottom>
    </border>
    <border>
      <left style="thin">
        <color rgb="00DDDDDD"/>
      </left>
      <right style="thin">
        <color rgb="00DDDDDD"/>
      </right>
      <top style="thin">
        <color rgb="00DDDDDD"/>
      </top>
      <bottom style="thin">
        <color rgb="00DDDDDD"/>
      </bottom>
    </border>
    <border>
      <left style="medium">
        <color rgb="00E67E22"/>
      </left>
      <right style="medium">
        <color rgb="00E67E22"/>
      </right>
      <top style="medium">
        <color rgb="00E67E22"/>
      </top>
      <bottom style="medium">
        <color rgb="00E67E22"/>
      </bottom>
    </border>
    <border>
      <left style="medium">
        <color rgb="001E8449"/>
      </left>
      <right style="medium">
        <color rgb="001E8449"/>
      </right>
      <top style="medium">
        <color rgb="001E8449"/>
      </top>
      <bottom style="medium">
        <color rgb="001E8449"/>
      </bottom>
    </border>
    <border>
      <left style="thin">
        <color rgb="001E8449"/>
      </left>
      <right style="thin">
        <color rgb="001E8449"/>
      </right>
      <top style="thin">
        <color rgb="001E8449"/>
      </top>
      <bottom style="thin">
        <color rgb="001E8449"/>
      </bottom>
    </border>
    <border>
      <left style="thin">
        <color rgb="006C3483"/>
      </left>
      <right style="thin">
        <color rgb="006C3483"/>
      </right>
      <top style="thin">
        <color rgb="006C3483"/>
      </top>
      <bottom style="thin">
        <color rgb="006C3483"/>
      </bottom>
    </border>
    <border>
      <left style="medium">
        <color rgb="006C3483"/>
      </left>
      <right style="medium">
        <color rgb="006C3483"/>
      </right>
      <top style="medium">
        <color rgb="006C3483"/>
      </top>
      <bottom style="medium">
        <color rgb="006C3483"/>
      </bottom>
    </border>
    <border>
      <left style="thin">
        <color rgb="001A4D8F"/>
      </left>
      <right style="thin">
        <color rgb="001A4D8F"/>
      </right>
      <top style="thin">
        <color rgb="001A4D8F"/>
      </top>
      <bottom style="thin">
        <color rgb="001A4D8F"/>
      </bottom>
    </border>
    <border>
      <left style="medium">
        <color rgb="001A4D8F"/>
      </left>
      <right style="medium">
        <color rgb="001A4D8F"/>
      </right>
      <top style="medium">
        <color rgb="001A4D8F"/>
      </top>
      <bottom style="medium">
        <color rgb="001A4D8F"/>
      </bottom>
    </border>
    <border>
      <left style="thin">
        <color rgb="00C0392B"/>
      </left>
      <right style="thin">
        <color rgb="00C0392B"/>
      </right>
      <top style="thin">
        <color rgb="00C0392B"/>
      </top>
      <bottom style="thin">
        <color rgb="00C0392B"/>
      </bottom>
    </border>
    <border>
      <left style="medium">
        <color rgb="00C0392B"/>
      </left>
      <right style="medium">
        <color rgb="00C0392B"/>
      </right>
      <top style="medium">
        <color rgb="00C0392B"/>
      </top>
      <bottom style="medium">
        <color rgb="00C0392B"/>
      </bottom>
    </border>
    <border>
      <left style="thin">
        <color rgb="00E67E22"/>
      </left>
      <right style="thin">
        <color rgb="00E67E22"/>
      </right>
      <top style="thin">
        <color rgb="00E67E22"/>
      </top>
      <bottom style="thin">
        <color rgb="00E67E22"/>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left" vertical="center" indent="2"/>
    </xf>
    <xf numFmtId="0" fontId="2" fillId="3" borderId="0" applyAlignment="1" pivotButton="0" quotePrefix="0" xfId="0">
      <alignment horizontal="left" vertical="center" indent="2"/>
    </xf>
    <xf numFmtId="0" fontId="2" fillId="2"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7" borderId="2" applyAlignment="1" pivotButton="0" quotePrefix="0" xfId="0">
      <alignment horizontal="center" vertical="center" wrapText="1"/>
    </xf>
    <xf numFmtId="0" fontId="0" fillId="8" borderId="2" applyAlignment="1" pivotButton="0" quotePrefix="0" xfId="0">
      <alignment horizontal="left" vertical="center" wrapText="1" indent="1"/>
    </xf>
    <xf numFmtId="0" fontId="0" fillId="9" borderId="2" applyAlignment="1" pivotButton="0" quotePrefix="0" xfId="0">
      <alignment horizontal="left" vertical="center" wrapText="1" indent="1"/>
    </xf>
    <xf numFmtId="4" fontId="0" fillId="8" borderId="2" applyAlignment="1" pivotButton="0" quotePrefix="0" xfId="0">
      <alignment horizontal="center" vertical="center" wrapText="1"/>
    </xf>
    <xf numFmtId="4" fontId="4" fillId="10" borderId="3" applyAlignment="1" pivotButton="0" quotePrefix="0" xfId="0">
      <alignment horizontal="center" vertical="center" wrapText="1"/>
    </xf>
    <xf numFmtId="0" fontId="3" fillId="11" borderId="2" applyAlignment="1" pivotButton="0" quotePrefix="0" xfId="0">
      <alignment horizontal="center" vertical="center" wrapText="1"/>
    </xf>
    <xf numFmtId="0" fontId="5" fillId="10" borderId="0" applyAlignment="1" pivotButton="0" quotePrefix="0" xfId="0">
      <alignment horizontal="left" vertical="center" indent="1"/>
    </xf>
    <xf numFmtId="0" fontId="2" fillId="12" borderId="0" applyAlignment="1" pivotButton="0" quotePrefix="0" xfId="0">
      <alignment horizontal="left" vertical="center" indent="2"/>
    </xf>
    <xf numFmtId="0" fontId="2" fillId="12" borderId="1" applyAlignment="1" pivotButton="0" quotePrefix="0" xfId="0">
      <alignment horizontal="center" vertical="center" wrapText="1"/>
    </xf>
    <xf numFmtId="0" fontId="0" fillId="8" borderId="2" pivotButton="0" quotePrefix="0" xfId="0"/>
    <xf numFmtId="0" fontId="6" fillId="8" borderId="4" applyAlignment="1" pivotButton="0" quotePrefix="0" xfId="0">
      <alignment horizontal="left" vertical="center" wrapText="1" indent="1"/>
    </xf>
    <xf numFmtId="0" fontId="4" fillId="10" borderId="3" applyAlignment="1" pivotButton="0" quotePrefix="0" xfId="0">
      <alignment horizontal="center" vertical="center" wrapText="1"/>
    </xf>
    <xf numFmtId="164" fontId="0" fillId="8" borderId="2" pivotButton="0" quotePrefix="0" xfId="0"/>
    <xf numFmtId="0" fontId="7" fillId="13" borderId="2" applyAlignment="1" pivotButton="0" quotePrefix="0" xfId="0">
      <alignment horizontal="center" vertical="center" wrapText="1"/>
    </xf>
    <xf numFmtId="0" fontId="8" fillId="8" borderId="0" applyAlignment="1" pivotButton="0" quotePrefix="0" xfId="0">
      <alignment horizontal="left" vertical="center" indent="1"/>
    </xf>
    <xf numFmtId="0" fontId="6" fillId="8" borderId="5" applyAlignment="1" pivotButton="0" quotePrefix="0" xfId="0">
      <alignment horizontal="left" vertical="center" wrapText="1" indent="1"/>
    </xf>
    <xf numFmtId="0" fontId="9" fillId="4" borderId="4" applyAlignment="1" pivotButton="0" quotePrefix="0" xfId="0">
      <alignment horizontal="center" vertical="center" wrapText="1"/>
    </xf>
    <xf numFmtId="0" fontId="10" fillId="13" borderId="6" applyAlignment="1" pivotButton="0" quotePrefix="0" xfId="0">
      <alignment horizontal="left" vertical="center" wrapText="1" indent="1"/>
    </xf>
    <xf numFmtId="0" fontId="9" fillId="12" borderId="7" applyAlignment="1" pivotButton="0" quotePrefix="0" xfId="0">
      <alignment horizontal="center" vertical="center" wrapText="1"/>
    </xf>
    <xf numFmtId="0" fontId="11" fillId="9" borderId="8" applyAlignment="1" pivotButton="0" quotePrefix="0" xfId="0">
      <alignment horizontal="left" vertical="center" wrapText="1" indent="1"/>
    </xf>
    <xf numFmtId="0" fontId="9" fillId="5" borderId="9" applyAlignment="1" pivotButton="0" quotePrefix="0" xfId="0">
      <alignment horizontal="center" vertical="center" wrapText="1"/>
    </xf>
    <xf numFmtId="0" fontId="12" fillId="14" borderId="10" applyAlignment="1" pivotButton="0" quotePrefix="0" xfId="0">
      <alignment horizontal="left" vertical="center" wrapText="1" indent="1"/>
    </xf>
    <xf numFmtId="0" fontId="9" fillId="15" borderId="11" applyAlignment="1" pivotButton="0" quotePrefix="0" xfId="0">
      <alignment horizontal="center" vertical="center" wrapText="1"/>
    </xf>
    <xf numFmtId="0" fontId="4" fillId="10" borderId="12" applyAlignment="1" pivotButton="0" quotePrefix="0" xfId="0">
      <alignment horizontal="left" vertical="center" wrapText="1" indent="1"/>
    </xf>
    <xf numFmtId="4" fontId="9" fillId="6" borderId="3" applyAlignment="1" pivotButton="0" quotePrefix="0" xfId="0">
      <alignment horizontal="center" vertical="center" wrapText="1"/>
    </xf>
    <xf numFmtId="4" fontId="9" fillId="4" borderId="4" applyAlignment="1" pivotButton="0" quotePrefix="0" xfId="0">
      <alignment horizontal="center" vertical="center" wrapText="1"/>
    </xf>
    <xf numFmtId="0" fontId="13" fillId="16" borderId="0" applyAlignment="1" pivotButton="0" quotePrefix="0" xfId="0">
      <alignment horizontal="left" vertical="center" indent="1"/>
    </xf>
    <xf numFmtId="0" fontId="14" fillId="0" borderId="0" applyAlignment="1" pivotButton="0" quotePrefix="0" xfId="0">
      <alignment vertical="center" wrapText="1"/>
    </xf>
    <xf numFmtId="0" fontId="15" fillId="0" borderId="0" applyAlignment="1" pivotButton="0" quotePrefix="0" xfId="0">
      <alignment vertical="center" wrapText="1"/>
    </xf>
    <xf numFmtId="0" fontId="16" fillId="0" borderId="0" applyAlignment="1" pivotButton="0" quotePrefix="0" xfId="0">
      <alignment vertical="center" wrapText="1"/>
    </xf>
    <xf numFmtId="0" fontId="17" fillId="0" borderId="0" applyAlignment="1" pivotButton="0" quotePrefix="0" xfId="0">
      <alignment vertical="center" wrapText="1"/>
    </xf>
    <xf numFmtId="0" fontId="6" fillId="0" borderId="0" applyAlignment="1" pivotButton="0" quotePrefix="0" xfId="0">
      <alignment vertical="center" wrapText="1"/>
    </xf>
    <xf numFmtId="0" fontId="4" fillId="0" borderId="0" applyAlignment="1" pivotButton="0" quotePrefix="0" xfId="0">
      <alignment vertical="center" wrapText="1"/>
    </xf>
    <xf numFmtId="0" fontId="18" fillId="0" borderId="0" applyAlignment="1" pivotButton="0" quotePrefix="0" xfId="0">
      <alignment vertical="center" wrapText="1"/>
    </xf>
    <xf numFmtId="0" fontId="19" fillId="0" borderId="0" applyAlignment="1" pivotButton="0" quotePrefix="0" xfId="0">
      <alignment vertical="center" wrapText="1"/>
    </xf>
    <xf numFmtId="0" fontId="10" fillId="0" borderId="0" applyAlignment="1" pivotButton="0" quotePrefix="0" xfId="0">
      <alignment vertical="center" wrapText="1"/>
    </xf>
    <xf numFmtId="0" fontId="20" fillId="0" borderId="0" applyAlignment="1" pivotButton="0" quotePrefix="0" xfId="0">
      <alignment vertical="center" wrapText="1"/>
    </xf>
  </cellXfs>
  <cellStyles count="1">
    <cellStyle name="Normal" xfId="0" builtinId="0" hidden="0"/>
  </cellStyles>
  <dxfs count="6">
    <dxf>
      <font>
        <name val="Calibri"/>
        <b val="1"/>
        <color rgb="00C0392B"/>
        <sz val="10"/>
      </font>
      <fill>
        <patternFill patternType="solid">
          <fgColor rgb="00FDECEA"/>
        </patternFill>
      </fill>
    </dxf>
    <dxf>
      <font>
        <name val="Calibri"/>
        <b val="1"/>
        <color rgb="00E67E22"/>
        <sz val="10"/>
      </font>
      <fill>
        <patternFill patternType="solid">
          <fgColor rgb="00FEF5E7"/>
        </patternFill>
      </fill>
    </dxf>
    <dxf>
      <font>
        <name val="Calibri"/>
        <b val="1"/>
        <color rgb="001E8449"/>
        <sz val="10"/>
      </font>
      <fill>
        <patternFill patternType="solid">
          <fgColor rgb="00E8F8F0"/>
        </patternFill>
      </fill>
    </dxf>
    <dxf>
      <font>
        <name val="Calibri"/>
        <b val="1"/>
        <color rgb="001E8449"/>
        <sz val="9"/>
      </font>
      <fill>
        <patternFill patternType="solid">
          <fgColor rgb="00E8F8F0"/>
        </patternFill>
      </fill>
    </dxf>
    <dxf>
      <font>
        <name val="Calibri"/>
        <b val="1"/>
        <color rgb="00C0392B"/>
        <sz val="9"/>
      </font>
      <fill>
        <patternFill patternType="solid">
          <fgColor rgb="00FDECEA"/>
        </patternFill>
      </fill>
    </dxf>
    <dxf>
      <font>
        <name val="Calibri"/>
        <b val="1"/>
        <color rgb="00E67E22"/>
        <sz val="9"/>
      </font>
      <fill>
        <patternFill patternType="solid">
          <fgColor rgb="00FEF5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K5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22" customWidth="1" min="4" max="4"/>
    <col width="14" customWidth="1" min="5" max="5"/>
    <col width="14" customWidth="1" min="6" max="6"/>
    <col width="26" customWidth="1" min="7" max="7"/>
    <col width="18" customWidth="1" min="8" max="8"/>
    <col width="20" customWidth="1" min="9" max="9"/>
    <col width="20" customWidth="1" min="10" max="10"/>
    <col width="18" customWidth="1" min="11" max="11"/>
  </cols>
  <sheetData>
    <row r="1" ht="10" customHeight="1"/>
    <row r="2" ht="42" customHeight="1">
      <c r="A2" s="1" t="inlineStr">
        <is>
          <t>🗂   EDEN FOOD — BASE DE DONNÉES CLIENTS &amp; LICENCES</t>
        </is>
      </c>
    </row>
    <row r="3" ht="14" customHeight="1">
      <c r="A3" s="2" t="inlineStr">
        <is>
          <t xml:space="preserve">  📌  1 ligne = 1 LICENCE  |  Plusieurs lignes possibles par client  |  SOLDE (col I) = 🤖 AUTO — double critère CLIENT + LICENCE  |  Col B = source de la liste déroulante dans COMMANDES</t>
        </is>
      </c>
    </row>
    <row r="4" ht="42" customHeight="1">
      <c r="A4" s="3" t="inlineStr">
        <is>
          <t>#</t>
        </is>
      </c>
      <c r="B4" s="4" t="inlineStr">
        <is>
          <t>NOM / RAISON
SOCIALE</t>
        </is>
      </c>
      <c r="C4" s="4" t="inlineStr">
        <is>
          <t>ADRESSE LIGNE 1</t>
        </is>
      </c>
      <c r="D4" s="5" t="inlineStr">
        <is>
          <t>ADRESSE LIGNE 2
(optionnel)</t>
        </is>
      </c>
      <c r="E4" s="4" t="inlineStr">
        <is>
          <t>VILLE</t>
        </is>
      </c>
      <c r="F4" s="4" t="inlineStr">
        <is>
          <t>PAYS</t>
        </is>
      </c>
      <c r="G4" s="4" t="inlineStr">
        <is>
          <t>N° LICENCE
DPVCT  🔑</t>
        </is>
      </c>
      <c r="H4" s="4" t="inlineStr">
        <is>
          <t>POIDS TOTAL
LICENCE (kgs)
✏️ Saisie</t>
        </is>
      </c>
      <c r="I4" s="6" t="inlineStr">
        <is>
          <t>SOLDE ACTUEL
(kgs)
🤖 AUTO</t>
        </is>
      </c>
      <c r="J4" s="5" t="inlineStr">
        <is>
          <t>CONTACT
(opt.)</t>
        </is>
      </c>
      <c r="K4" s="5" t="inlineStr">
        <is>
          <t>NOTES
(opt.)</t>
        </is>
      </c>
    </row>
    <row r="5" ht="24" customHeight="1">
      <c r="A5" s="7">
        <f>IF(B5&lt;&gt;"",ROW()-4,"")</f>
        <v/>
      </c>
      <c r="B5" s="8" t="inlineStr">
        <is>
          <t>EURL ISLAM FRUITS IMPORT / EXPORT</t>
        </is>
      </c>
      <c r="C5" s="8" t="inlineStr">
        <is>
          <t>CITE 1084 LOGEMENT, BT 54 N°21, OULEDYAAICH</t>
        </is>
      </c>
      <c r="D5" s="9" t="inlineStr"/>
      <c r="E5" s="8" t="inlineStr">
        <is>
          <t>BLIDA</t>
        </is>
      </c>
      <c r="F5" s="8" t="inlineStr">
        <is>
          <t>ALGERIE</t>
        </is>
      </c>
      <c r="G5" s="8" t="inlineStr">
        <is>
          <t>1195 DPVCT/SDCT/2025</t>
        </is>
      </c>
      <c r="H5" s="10" t="n">
        <v>1655930</v>
      </c>
      <c r="I5" s="11">
        <f>IF(OR(B5="",G5=""),"",H5-SUMPRODUCT(('🚢 COMMANDES'!$C$5:$C$154=B5)*('🚢 COMMANDES'!$E$5:$E$154=G5)*('🚢 COMMANDES'!$K$5:$K$154)*IF(ISNUMBER(SEARCH("TURBO",'🚢 COMMANDES'!$H$5:$H$154)),1080,1200)*18.14))</f>
        <v/>
      </c>
      <c r="J5" s="9" t="n"/>
      <c r="K5" s="9" t="n"/>
    </row>
    <row r="6" ht="24" customHeight="1">
      <c r="A6" s="12">
        <f>IF(B6&lt;&gt;"",ROW()-4,"")</f>
        <v/>
      </c>
      <c r="B6" s="8" t="inlineStr">
        <is>
          <t>EURL ISLAM FRUITS IMPORT / EXPORT</t>
        </is>
      </c>
      <c r="C6" s="8" t="inlineStr">
        <is>
          <t>CITE 1084 LOGEMENT, BT 54 N°21, OULEDYAAICH</t>
        </is>
      </c>
      <c r="D6" s="9" t="inlineStr"/>
      <c r="E6" s="8" t="inlineStr">
        <is>
          <t>BLIDA</t>
        </is>
      </c>
      <c r="F6" s="8" t="inlineStr">
        <is>
          <t>ALGERIE</t>
        </is>
      </c>
      <c r="G6" s="8" t="inlineStr">
        <is>
          <t>1196 DPVCT/SDCT/2025</t>
        </is>
      </c>
      <c r="H6" s="10" t="n">
        <v>800000</v>
      </c>
      <c r="I6" s="11">
        <f>IF(OR(B6="",G6=""),"",H6-SUMPRODUCT(('🚢 COMMANDES'!$C$5:$C$154=B6)*('🚢 COMMANDES'!$E$5:$E$154=G6)*('🚢 COMMANDES'!$K$5:$K$154)*IF(ISNUMBER(SEARCH("TURBO",'🚢 COMMANDES'!$H$5:$H$154)),1080,1200)*18.14))</f>
        <v/>
      </c>
      <c r="J6" s="9" t="n"/>
      <c r="K6" s="9" t="n"/>
    </row>
    <row r="7" ht="24" customHeight="1">
      <c r="A7" s="7">
        <f>IF(B7&lt;&gt;"",ROW()-4,"")</f>
        <v/>
      </c>
      <c r="B7" s="8" t="n"/>
      <c r="C7" s="8" t="n"/>
      <c r="D7" s="9" t="n"/>
      <c r="E7" s="8" t="n"/>
      <c r="F7" s="8" t="n"/>
      <c r="G7" s="8" t="n"/>
      <c r="H7" s="10" t="n"/>
      <c r="I7" s="11">
        <f>IF(OR(B7="",G7=""),"",H7-SUMPRODUCT(('🚢 COMMANDES'!$C$5:$C$154=B7)*('🚢 COMMANDES'!$E$5:$E$154=G7)*('🚢 COMMANDES'!$K$5:$K$154)*IF(ISNUMBER(SEARCH("TURBO",'🚢 COMMANDES'!$H$5:$H$154)),1080,1200)*18.14))</f>
        <v/>
      </c>
      <c r="J7" s="9" t="n"/>
      <c r="K7" s="9" t="n"/>
    </row>
    <row r="8" ht="24" customHeight="1">
      <c r="A8" s="12">
        <f>IF(B8&lt;&gt;"",ROW()-4,"")</f>
        <v/>
      </c>
      <c r="B8" s="8" t="n"/>
      <c r="C8" s="8" t="n"/>
      <c r="D8" s="9" t="n"/>
      <c r="E8" s="8" t="n"/>
      <c r="F8" s="8" t="n"/>
      <c r="G8" s="8" t="n"/>
      <c r="H8" s="10" t="n"/>
      <c r="I8" s="11">
        <f>IF(OR(B8="",G8=""),"",H8-SUMPRODUCT(('🚢 COMMANDES'!$C$5:$C$154=B8)*('🚢 COMMANDES'!$E$5:$E$154=G8)*('🚢 COMMANDES'!$K$5:$K$154)*IF(ISNUMBER(SEARCH("TURBO",'🚢 COMMANDES'!$H$5:$H$154)),1080,1200)*18.14))</f>
        <v/>
      </c>
      <c r="J8" s="9" t="n"/>
      <c r="K8" s="9" t="n"/>
    </row>
    <row r="9" ht="24" customHeight="1">
      <c r="A9" s="7">
        <f>IF(B9&lt;&gt;"",ROW()-4,"")</f>
        <v/>
      </c>
      <c r="B9" s="8" t="n"/>
      <c r="C9" s="8" t="n"/>
      <c r="D9" s="9" t="n"/>
      <c r="E9" s="8" t="n"/>
      <c r="F9" s="8" t="n"/>
      <c r="G9" s="8" t="n"/>
      <c r="H9" s="10" t="n"/>
      <c r="I9" s="11">
        <f>IF(OR(B9="",G9=""),"",H9-SUMPRODUCT(('🚢 COMMANDES'!$C$5:$C$154=B9)*('🚢 COMMANDES'!$E$5:$E$154=G9)*('🚢 COMMANDES'!$K$5:$K$154)*IF(ISNUMBER(SEARCH("TURBO",'🚢 COMMANDES'!$H$5:$H$154)),1080,1200)*18.14))</f>
        <v/>
      </c>
      <c r="J9" s="9" t="n"/>
      <c r="K9" s="9" t="n"/>
    </row>
    <row r="10" ht="24" customHeight="1">
      <c r="A10" s="12">
        <f>IF(B10&lt;&gt;"",ROW()-4,"")</f>
        <v/>
      </c>
      <c r="B10" s="8" t="n"/>
      <c r="C10" s="8" t="n"/>
      <c r="D10" s="9" t="n"/>
      <c r="E10" s="8" t="n"/>
      <c r="F10" s="8" t="n"/>
      <c r="G10" s="8" t="n"/>
      <c r="H10" s="10" t="n"/>
      <c r="I10" s="11">
        <f>IF(OR(B10="",G10=""),"",H10-SUMPRODUCT(('🚢 COMMANDES'!$C$5:$C$154=B10)*('🚢 COMMANDES'!$E$5:$E$154=G10)*('🚢 COMMANDES'!$K$5:$K$154)*IF(ISNUMBER(SEARCH("TURBO",'🚢 COMMANDES'!$H$5:$H$154)),1080,1200)*18.14))</f>
        <v/>
      </c>
      <c r="J10" s="9" t="n"/>
      <c r="K10" s="9" t="n"/>
    </row>
    <row r="11" ht="24" customHeight="1">
      <c r="A11" s="7">
        <f>IF(B11&lt;&gt;"",ROW()-4,"")</f>
        <v/>
      </c>
      <c r="B11" s="8" t="n"/>
      <c r="C11" s="8" t="n"/>
      <c r="D11" s="9" t="n"/>
      <c r="E11" s="8" t="n"/>
      <c r="F11" s="8" t="n"/>
      <c r="G11" s="8" t="n"/>
      <c r="H11" s="10" t="n"/>
      <c r="I11" s="11">
        <f>IF(OR(B11="",G11=""),"",H11-SUMPRODUCT(('🚢 COMMANDES'!$C$5:$C$154=B11)*('🚢 COMMANDES'!$E$5:$E$154=G11)*('🚢 COMMANDES'!$K$5:$K$154)*IF(ISNUMBER(SEARCH("TURBO",'🚢 COMMANDES'!$H$5:$H$154)),1080,1200)*18.14))</f>
        <v/>
      </c>
      <c r="J11" s="9" t="n"/>
      <c r="K11" s="9" t="n"/>
    </row>
    <row r="12" ht="24" customHeight="1">
      <c r="A12" s="12">
        <f>IF(B12&lt;&gt;"",ROW()-4,"")</f>
        <v/>
      </c>
      <c r="B12" s="8" t="n"/>
      <c r="C12" s="8" t="n"/>
      <c r="D12" s="9" t="n"/>
      <c r="E12" s="8" t="n"/>
      <c r="F12" s="8" t="n"/>
      <c r="G12" s="8" t="n"/>
      <c r="H12" s="10" t="n"/>
      <c r="I12" s="11">
        <f>IF(OR(B12="",G12=""),"",H12-SUMPRODUCT(('🚢 COMMANDES'!$C$5:$C$154=B12)*('🚢 COMMANDES'!$E$5:$E$154=G12)*('🚢 COMMANDES'!$K$5:$K$154)*IF(ISNUMBER(SEARCH("TURBO",'🚢 COMMANDES'!$H$5:$H$154)),1080,1200)*18.14))</f>
        <v/>
      </c>
      <c r="J12" s="9" t="n"/>
      <c r="K12" s="9" t="n"/>
    </row>
    <row r="13" ht="24" customHeight="1">
      <c r="A13" s="7">
        <f>IF(B13&lt;&gt;"",ROW()-4,"")</f>
        <v/>
      </c>
      <c r="B13" s="8" t="n"/>
      <c r="C13" s="8" t="n"/>
      <c r="D13" s="9" t="n"/>
      <c r="E13" s="8" t="n"/>
      <c r="F13" s="8" t="n"/>
      <c r="G13" s="8" t="n"/>
      <c r="H13" s="10" t="n"/>
      <c r="I13" s="11">
        <f>IF(OR(B13="",G13=""),"",H13-SUMPRODUCT(('🚢 COMMANDES'!$C$5:$C$154=B13)*('🚢 COMMANDES'!$E$5:$E$154=G13)*('🚢 COMMANDES'!$K$5:$K$154)*IF(ISNUMBER(SEARCH("TURBO",'🚢 COMMANDES'!$H$5:$H$154)),1080,1200)*18.14))</f>
        <v/>
      </c>
      <c r="J13" s="9" t="n"/>
      <c r="K13" s="9" t="n"/>
    </row>
    <row r="14" ht="24" customHeight="1">
      <c r="A14" s="12">
        <f>IF(B14&lt;&gt;"",ROW()-4,"")</f>
        <v/>
      </c>
      <c r="B14" s="8" t="n"/>
      <c r="C14" s="8" t="n"/>
      <c r="D14" s="9" t="n"/>
      <c r="E14" s="8" t="n"/>
      <c r="F14" s="8" t="n"/>
      <c r="G14" s="8" t="n"/>
      <c r="H14" s="10" t="n"/>
      <c r="I14" s="11">
        <f>IF(OR(B14="",G14=""),"",H14-SUMPRODUCT(('🚢 COMMANDES'!$C$5:$C$154=B14)*('🚢 COMMANDES'!$E$5:$E$154=G14)*('🚢 COMMANDES'!$K$5:$K$154)*IF(ISNUMBER(SEARCH("TURBO",'🚢 COMMANDES'!$H$5:$H$154)),1080,1200)*18.14))</f>
        <v/>
      </c>
      <c r="J14" s="9" t="n"/>
      <c r="K14" s="9" t="n"/>
    </row>
    <row r="15" ht="24" customHeight="1">
      <c r="A15" s="7">
        <f>IF(B15&lt;&gt;"",ROW()-4,"")</f>
        <v/>
      </c>
      <c r="B15" s="8" t="n"/>
      <c r="C15" s="8" t="n"/>
      <c r="D15" s="9" t="n"/>
      <c r="E15" s="8" t="n"/>
      <c r="F15" s="8" t="n"/>
      <c r="G15" s="8" t="n"/>
      <c r="H15" s="10" t="n"/>
      <c r="I15" s="11">
        <f>IF(OR(B15="",G15=""),"",H15-SUMPRODUCT(('🚢 COMMANDES'!$C$5:$C$154=B15)*('🚢 COMMANDES'!$E$5:$E$154=G15)*('🚢 COMMANDES'!$K$5:$K$154)*IF(ISNUMBER(SEARCH("TURBO",'🚢 COMMANDES'!$H$5:$H$154)),1080,1200)*18.14))</f>
        <v/>
      </c>
      <c r="J15" s="9" t="n"/>
      <c r="K15" s="9" t="n"/>
    </row>
    <row r="16" ht="24" customHeight="1">
      <c r="A16" s="12">
        <f>IF(B16&lt;&gt;"",ROW()-4,"")</f>
        <v/>
      </c>
      <c r="B16" s="8" t="n"/>
      <c r="C16" s="8" t="n"/>
      <c r="D16" s="9" t="n"/>
      <c r="E16" s="8" t="n"/>
      <c r="F16" s="8" t="n"/>
      <c r="G16" s="8" t="n"/>
      <c r="H16" s="10" t="n"/>
      <c r="I16" s="11">
        <f>IF(OR(B16="",G16=""),"",H16-SUMPRODUCT(('🚢 COMMANDES'!$C$5:$C$154=B16)*('🚢 COMMANDES'!$E$5:$E$154=G16)*('🚢 COMMANDES'!$K$5:$K$154)*IF(ISNUMBER(SEARCH("TURBO",'🚢 COMMANDES'!$H$5:$H$154)),1080,1200)*18.14))</f>
        <v/>
      </c>
      <c r="J16" s="9" t="n"/>
      <c r="K16" s="9" t="n"/>
    </row>
    <row r="17" ht="24" customHeight="1">
      <c r="A17" s="7">
        <f>IF(B17&lt;&gt;"",ROW()-4,"")</f>
        <v/>
      </c>
      <c r="B17" s="8" t="n"/>
      <c r="C17" s="8" t="n"/>
      <c r="D17" s="9" t="n"/>
      <c r="E17" s="8" t="n"/>
      <c r="F17" s="8" t="n"/>
      <c r="G17" s="8" t="n"/>
      <c r="H17" s="10" t="n"/>
      <c r="I17" s="11">
        <f>IF(OR(B17="",G17=""),"",H17-SUMPRODUCT(('🚢 COMMANDES'!$C$5:$C$154=B17)*('🚢 COMMANDES'!$E$5:$E$154=G17)*('🚢 COMMANDES'!$K$5:$K$154)*IF(ISNUMBER(SEARCH("TURBO",'🚢 COMMANDES'!$H$5:$H$154)),1080,1200)*18.14))</f>
        <v/>
      </c>
      <c r="J17" s="9" t="n"/>
      <c r="K17" s="9" t="n"/>
    </row>
    <row r="18" ht="24" customHeight="1">
      <c r="A18" s="12">
        <f>IF(B18&lt;&gt;"",ROW()-4,"")</f>
        <v/>
      </c>
      <c r="B18" s="8" t="n"/>
      <c r="C18" s="8" t="n"/>
      <c r="D18" s="9" t="n"/>
      <c r="E18" s="8" t="n"/>
      <c r="F18" s="8" t="n"/>
      <c r="G18" s="8" t="n"/>
      <c r="H18" s="10" t="n"/>
      <c r="I18" s="11">
        <f>IF(OR(B18="",G18=""),"",H18-SUMPRODUCT(('🚢 COMMANDES'!$C$5:$C$154=B18)*('🚢 COMMANDES'!$E$5:$E$154=G18)*('🚢 COMMANDES'!$K$5:$K$154)*IF(ISNUMBER(SEARCH("TURBO",'🚢 COMMANDES'!$H$5:$H$154)),1080,1200)*18.14))</f>
        <v/>
      </c>
      <c r="J18" s="9" t="n"/>
      <c r="K18" s="9" t="n"/>
    </row>
    <row r="19" ht="24" customHeight="1">
      <c r="A19" s="7">
        <f>IF(B19&lt;&gt;"",ROW()-4,"")</f>
        <v/>
      </c>
      <c r="B19" s="8" t="n"/>
      <c r="C19" s="8" t="n"/>
      <c r="D19" s="9" t="n"/>
      <c r="E19" s="8" t="n"/>
      <c r="F19" s="8" t="n"/>
      <c r="G19" s="8" t="n"/>
      <c r="H19" s="10" t="n"/>
      <c r="I19" s="11">
        <f>IF(OR(B19="",G19=""),"",H19-SUMPRODUCT(('🚢 COMMANDES'!$C$5:$C$154=B19)*('🚢 COMMANDES'!$E$5:$E$154=G19)*('🚢 COMMANDES'!$K$5:$K$154)*IF(ISNUMBER(SEARCH("TURBO",'🚢 COMMANDES'!$H$5:$H$154)),1080,1200)*18.14))</f>
        <v/>
      </c>
      <c r="J19" s="9" t="n"/>
      <c r="K19" s="9" t="n"/>
    </row>
    <row r="20" ht="24" customHeight="1">
      <c r="A20" s="12">
        <f>IF(B20&lt;&gt;"",ROW()-4,"")</f>
        <v/>
      </c>
      <c r="B20" s="8" t="n"/>
      <c r="C20" s="8" t="n"/>
      <c r="D20" s="9" t="n"/>
      <c r="E20" s="8" t="n"/>
      <c r="F20" s="8" t="n"/>
      <c r="G20" s="8" t="n"/>
      <c r="H20" s="10" t="n"/>
      <c r="I20" s="11">
        <f>IF(OR(B20="",G20=""),"",H20-SUMPRODUCT(('🚢 COMMANDES'!$C$5:$C$154=B20)*('🚢 COMMANDES'!$E$5:$E$154=G20)*('🚢 COMMANDES'!$K$5:$K$154)*IF(ISNUMBER(SEARCH("TURBO",'🚢 COMMANDES'!$H$5:$H$154)),1080,1200)*18.14))</f>
        <v/>
      </c>
      <c r="J20" s="9" t="n"/>
      <c r="K20" s="9" t="n"/>
    </row>
    <row r="21" ht="24" customHeight="1">
      <c r="A21" s="7">
        <f>IF(B21&lt;&gt;"",ROW()-4,"")</f>
        <v/>
      </c>
      <c r="B21" s="8" t="n"/>
      <c r="C21" s="8" t="n"/>
      <c r="D21" s="9" t="n"/>
      <c r="E21" s="8" t="n"/>
      <c r="F21" s="8" t="n"/>
      <c r="G21" s="8" t="n"/>
      <c r="H21" s="10" t="n"/>
      <c r="I21" s="11">
        <f>IF(OR(B21="",G21=""),"",H21-SUMPRODUCT(('🚢 COMMANDES'!$C$5:$C$154=B21)*('🚢 COMMANDES'!$E$5:$E$154=G21)*('🚢 COMMANDES'!$K$5:$K$154)*IF(ISNUMBER(SEARCH("TURBO",'🚢 COMMANDES'!$H$5:$H$154)),1080,1200)*18.14))</f>
        <v/>
      </c>
      <c r="J21" s="9" t="n"/>
      <c r="K21" s="9" t="n"/>
    </row>
    <row r="22" ht="24" customHeight="1">
      <c r="A22" s="12">
        <f>IF(B22&lt;&gt;"",ROW()-4,"")</f>
        <v/>
      </c>
      <c r="B22" s="8" t="n"/>
      <c r="C22" s="8" t="n"/>
      <c r="D22" s="9" t="n"/>
      <c r="E22" s="8" t="n"/>
      <c r="F22" s="8" t="n"/>
      <c r="G22" s="8" t="n"/>
      <c r="H22" s="10" t="n"/>
      <c r="I22" s="11">
        <f>IF(OR(B22="",G22=""),"",H22-SUMPRODUCT(('🚢 COMMANDES'!$C$5:$C$154=B22)*('🚢 COMMANDES'!$E$5:$E$154=G22)*('🚢 COMMANDES'!$K$5:$K$154)*IF(ISNUMBER(SEARCH("TURBO",'🚢 COMMANDES'!$H$5:$H$154)),1080,1200)*18.14))</f>
        <v/>
      </c>
      <c r="J22" s="9" t="n"/>
      <c r="K22" s="9" t="n"/>
    </row>
    <row r="23" ht="24" customHeight="1">
      <c r="A23" s="7">
        <f>IF(B23&lt;&gt;"",ROW()-4,"")</f>
        <v/>
      </c>
      <c r="B23" s="8" t="n"/>
      <c r="C23" s="8" t="n"/>
      <c r="D23" s="9" t="n"/>
      <c r="E23" s="8" t="n"/>
      <c r="F23" s="8" t="n"/>
      <c r="G23" s="8" t="n"/>
      <c r="H23" s="10" t="n"/>
      <c r="I23" s="11">
        <f>IF(OR(B23="",G23=""),"",H23-SUMPRODUCT(('🚢 COMMANDES'!$C$5:$C$154=B23)*('🚢 COMMANDES'!$E$5:$E$154=G23)*('🚢 COMMANDES'!$K$5:$K$154)*IF(ISNUMBER(SEARCH("TURBO",'🚢 COMMANDES'!$H$5:$H$154)),1080,1200)*18.14))</f>
        <v/>
      </c>
      <c r="J23" s="9" t="n"/>
      <c r="K23" s="9" t="n"/>
    </row>
    <row r="24" ht="24" customHeight="1">
      <c r="A24" s="12">
        <f>IF(B24&lt;&gt;"",ROW()-4,"")</f>
        <v/>
      </c>
      <c r="B24" s="8" t="n"/>
      <c r="C24" s="8" t="n"/>
      <c r="D24" s="9" t="n"/>
      <c r="E24" s="8" t="n"/>
      <c r="F24" s="8" t="n"/>
      <c r="G24" s="8" t="n"/>
      <c r="H24" s="10" t="n"/>
      <c r="I24" s="11">
        <f>IF(OR(B24="",G24=""),"",H24-SUMPRODUCT(('🚢 COMMANDES'!$C$5:$C$154=B24)*('🚢 COMMANDES'!$E$5:$E$154=G24)*('🚢 COMMANDES'!$K$5:$K$154)*IF(ISNUMBER(SEARCH("TURBO",'🚢 COMMANDES'!$H$5:$H$154)),1080,1200)*18.14))</f>
        <v/>
      </c>
      <c r="J24" s="9" t="n"/>
      <c r="K24" s="9" t="n"/>
    </row>
    <row r="25" ht="24" customHeight="1">
      <c r="A25" s="7">
        <f>IF(B25&lt;&gt;"",ROW()-4,"")</f>
        <v/>
      </c>
      <c r="B25" s="8" t="n"/>
      <c r="C25" s="8" t="n"/>
      <c r="D25" s="9" t="n"/>
      <c r="E25" s="8" t="n"/>
      <c r="F25" s="8" t="n"/>
      <c r="G25" s="8" t="n"/>
      <c r="H25" s="10" t="n"/>
      <c r="I25" s="11">
        <f>IF(OR(B25="",G25=""),"",H25-SUMPRODUCT(('🚢 COMMANDES'!$C$5:$C$154=B25)*('🚢 COMMANDES'!$E$5:$E$154=G25)*('🚢 COMMANDES'!$K$5:$K$154)*IF(ISNUMBER(SEARCH("TURBO",'🚢 COMMANDES'!$H$5:$H$154)),1080,1200)*18.14))</f>
        <v/>
      </c>
      <c r="J25" s="9" t="n"/>
      <c r="K25" s="9" t="n"/>
    </row>
    <row r="26" ht="24" customHeight="1">
      <c r="A26" s="12">
        <f>IF(B26&lt;&gt;"",ROW()-4,"")</f>
        <v/>
      </c>
      <c r="B26" s="8" t="n"/>
      <c r="C26" s="8" t="n"/>
      <c r="D26" s="9" t="n"/>
      <c r="E26" s="8" t="n"/>
      <c r="F26" s="8" t="n"/>
      <c r="G26" s="8" t="n"/>
      <c r="H26" s="10" t="n"/>
      <c r="I26" s="11">
        <f>IF(OR(B26="",G26=""),"",H26-SUMPRODUCT(('🚢 COMMANDES'!$C$5:$C$154=B26)*('🚢 COMMANDES'!$E$5:$E$154=G26)*('🚢 COMMANDES'!$K$5:$K$154)*IF(ISNUMBER(SEARCH("TURBO",'🚢 COMMANDES'!$H$5:$H$154)),1080,1200)*18.14))</f>
        <v/>
      </c>
      <c r="J26" s="9" t="n"/>
      <c r="K26" s="9" t="n"/>
    </row>
    <row r="27" ht="24" customHeight="1">
      <c r="A27" s="7">
        <f>IF(B27&lt;&gt;"",ROW()-4,"")</f>
        <v/>
      </c>
      <c r="B27" s="8" t="n"/>
      <c r="C27" s="8" t="n"/>
      <c r="D27" s="9" t="n"/>
      <c r="E27" s="8" t="n"/>
      <c r="F27" s="8" t="n"/>
      <c r="G27" s="8" t="n"/>
      <c r="H27" s="10" t="n"/>
      <c r="I27" s="11">
        <f>IF(OR(B27="",G27=""),"",H27-SUMPRODUCT(('🚢 COMMANDES'!$C$5:$C$154=B27)*('🚢 COMMANDES'!$E$5:$E$154=G27)*('🚢 COMMANDES'!$K$5:$K$154)*IF(ISNUMBER(SEARCH("TURBO",'🚢 COMMANDES'!$H$5:$H$154)),1080,1200)*18.14))</f>
        <v/>
      </c>
      <c r="J27" s="9" t="n"/>
      <c r="K27" s="9" t="n"/>
    </row>
    <row r="28" ht="24" customHeight="1">
      <c r="A28" s="12">
        <f>IF(B28&lt;&gt;"",ROW()-4,"")</f>
        <v/>
      </c>
      <c r="B28" s="8" t="n"/>
      <c r="C28" s="8" t="n"/>
      <c r="D28" s="9" t="n"/>
      <c r="E28" s="8" t="n"/>
      <c r="F28" s="8" t="n"/>
      <c r="G28" s="8" t="n"/>
      <c r="H28" s="10" t="n"/>
      <c r="I28" s="11">
        <f>IF(OR(B28="",G28=""),"",H28-SUMPRODUCT(('🚢 COMMANDES'!$C$5:$C$154=B28)*('🚢 COMMANDES'!$E$5:$E$154=G28)*('🚢 COMMANDES'!$K$5:$K$154)*IF(ISNUMBER(SEARCH("TURBO",'🚢 COMMANDES'!$H$5:$H$154)),1080,1200)*18.14))</f>
        <v/>
      </c>
      <c r="J28" s="9" t="n"/>
      <c r="K28" s="9" t="n"/>
    </row>
    <row r="29" ht="24" customHeight="1">
      <c r="A29" s="7">
        <f>IF(B29&lt;&gt;"",ROW()-4,"")</f>
        <v/>
      </c>
      <c r="B29" s="8" t="n"/>
      <c r="C29" s="8" t="n"/>
      <c r="D29" s="9" t="n"/>
      <c r="E29" s="8" t="n"/>
      <c r="F29" s="8" t="n"/>
      <c r="G29" s="8" t="n"/>
      <c r="H29" s="10" t="n"/>
      <c r="I29" s="11">
        <f>IF(OR(B29="",G29=""),"",H29-SUMPRODUCT(('🚢 COMMANDES'!$C$5:$C$154=B29)*('🚢 COMMANDES'!$E$5:$E$154=G29)*('🚢 COMMANDES'!$K$5:$K$154)*IF(ISNUMBER(SEARCH("TURBO",'🚢 COMMANDES'!$H$5:$H$154)),1080,1200)*18.14))</f>
        <v/>
      </c>
      <c r="J29" s="9" t="n"/>
      <c r="K29" s="9" t="n"/>
    </row>
    <row r="30" ht="24" customHeight="1">
      <c r="A30" s="12">
        <f>IF(B30&lt;&gt;"",ROW()-4,"")</f>
        <v/>
      </c>
      <c r="B30" s="8" t="n"/>
      <c r="C30" s="8" t="n"/>
      <c r="D30" s="9" t="n"/>
      <c r="E30" s="8" t="n"/>
      <c r="F30" s="8" t="n"/>
      <c r="G30" s="8" t="n"/>
      <c r="H30" s="10" t="n"/>
      <c r="I30" s="11">
        <f>IF(OR(B30="",G30=""),"",H30-SUMPRODUCT(('🚢 COMMANDES'!$C$5:$C$154=B30)*('🚢 COMMANDES'!$E$5:$E$154=G30)*('🚢 COMMANDES'!$K$5:$K$154)*IF(ISNUMBER(SEARCH("TURBO",'🚢 COMMANDES'!$H$5:$H$154)),1080,1200)*18.14))</f>
        <v/>
      </c>
      <c r="J30" s="9" t="n"/>
      <c r="K30" s="9" t="n"/>
    </row>
    <row r="31" ht="24" customHeight="1">
      <c r="A31" s="7">
        <f>IF(B31&lt;&gt;"",ROW()-4,"")</f>
        <v/>
      </c>
      <c r="B31" s="8" t="n"/>
      <c r="C31" s="8" t="n"/>
      <c r="D31" s="9" t="n"/>
      <c r="E31" s="8" t="n"/>
      <c r="F31" s="8" t="n"/>
      <c r="G31" s="8" t="n"/>
      <c r="H31" s="10" t="n"/>
      <c r="I31" s="11">
        <f>IF(OR(B31="",G31=""),"",H31-SUMPRODUCT(('🚢 COMMANDES'!$C$5:$C$154=B31)*('🚢 COMMANDES'!$E$5:$E$154=G31)*('🚢 COMMANDES'!$K$5:$K$154)*IF(ISNUMBER(SEARCH("TURBO",'🚢 COMMANDES'!$H$5:$H$154)),1080,1200)*18.14))</f>
        <v/>
      </c>
      <c r="J31" s="9" t="n"/>
      <c r="K31" s="9" t="n"/>
    </row>
    <row r="32" ht="24" customHeight="1">
      <c r="A32" s="12">
        <f>IF(B32&lt;&gt;"",ROW()-4,"")</f>
        <v/>
      </c>
      <c r="B32" s="8" t="n"/>
      <c r="C32" s="8" t="n"/>
      <c r="D32" s="9" t="n"/>
      <c r="E32" s="8" t="n"/>
      <c r="F32" s="8" t="n"/>
      <c r="G32" s="8" t="n"/>
      <c r="H32" s="10" t="n"/>
      <c r="I32" s="11">
        <f>IF(OR(B32="",G32=""),"",H32-SUMPRODUCT(('🚢 COMMANDES'!$C$5:$C$154=B32)*('🚢 COMMANDES'!$E$5:$E$154=G32)*('🚢 COMMANDES'!$K$5:$K$154)*IF(ISNUMBER(SEARCH("TURBO",'🚢 COMMANDES'!$H$5:$H$154)),1080,1200)*18.14))</f>
        <v/>
      </c>
      <c r="J32" s="9" t="n"/>
      <c r="K32" s="9" t="n"/>
    </row>
    <row r="33" ht="24" customHeight="1">
      <c r="A33" s="7">
        <f>IF(B33&lt;&gt;"",ROW()-4,"")</f>
        <v/>
      </c>
      <c r="B33" s="8" t="n"/>
      <c r="C33" s="8" t="n"/>
      <c r="D33" s="9" t="n"/>
      <c r="E33" s="8" t="n"/>
      <c r="F33" s="8" t="n"/>
      <c r="G33" s="8" t="n"/>
      <c r="H33" s="10" t="n"/>
      <c r="I33" s="11">
        <f>IF(OR(B33="",G33=""),"",H33-SUMPRODUCT(('🚢 COMMANDES'!$C$5:$C$154=B33)*('🚢 COMMANDES'!$E$5:$E$154=G33)*('🚢 COMMANDES'!$K$5:$K$154)*IF(ISNUMBER(SEARCH("TURBO",'🚢 COMMANDES'!$H$5:$H$154)),1080,1200)*18.14))</f>
        <v/>
      </c>
      <c r="J33" s="9" t="n"/>
      <c r="K33" s="9" t="n"/>
    </row>
    <row r="34" ht="24" customHeight="1">
      <c r="A34" s="12">
        <f>IF(B34&lt;&gt;"",ROW()-4,"")</f>
        <v/>
      </c>
      <c r="B34" s="8" t="n"/>
      <c r="C34" s="8" t="n"/>
      <c r="D34" s="9" t="n"/>
      <c r="E34" s="8" t="n"/>
      <c r="F34" s="8" t="n"/>
      <c r="G34" s="8" t="n"/>
      <c r="H34" s="10" t="n"/>
      <c r="I34" s="11">
        <f>IF(OR(B34="",G34=""),"",H34-SUMPRODUCT(('🚢 COMMANDES'!$C$5:$C$154=B34)*('🚢 COMMANDES'!$E$5:$E$154=G34)*('🚢 COMMANDES'!$K$5:$K$154)*IF(ISNUMBER(SEARCH("TURBO",'🚢 COMMANDES'!$H$5:$H$154)),1080,1200)*18.14))</f>
        <v/>
      </c>
      <c r="J34" s="9" t="n"/>
      <c r="K34" s="9" t="n"/>
    </row>
    <row r="35" ht="24" customHeight="1">
      <c r="A35" s="7">
        <f>IF(B35&lt;&gt;"",ROW()-4,"")</f>
        <v/>
      </c>
      <c r="B35" s="8" t="n"/>
      <c r="C35" s="8" t="n"/>
      <c r="D35" s="9" t="n"/>
      <c r="E35" s="8" t="n"/>
      <c r="F35" s="8" t="n"/>
      <c r="G35" s="8" t="n"/>
      <c r="H35" s="10" t="n"/>
      <c r="I35" s="11">
        <f>IF(OR(B35="",G35=""),"",H35-SUMPRODUCT(('🚢 COMMANDES'!$C$5:$C$154=B35)*('🚢 COMMANDES'!$E$5:$E$154=G35)*('🚢 COMMANDES'!$K$5:$K$154)*IF(ISNUMBER(SEARCH("TURBO",'🚢 COMMANDES'!$H$5:$H$154)),1080,1200)*18.14))</f>
        <v/>
      </c>
      <c r="J35" s="9" t="n"/>
      <c r="K35" s="9" t="n"/>
    </row>
    <row r="36" ht="24" customHeight="1">
      <c r="A36" s="12">
        <f>IF(B36&lt;&gt;"",ROW()-4,"")</f>
        <v/>
      </c>
      <c r="B36" s="8" t="n"/>
      <c r="C36" s="8" t="n"/>
      <c r="D36" s="9" t="n"/>
      <c r="E36" s="8" t="n"/>
      <c r="F36" s="8" t="n"/>
      <c r="G36" s="8" t="n"/>
      <c r="H36" s="10" t="n"/>
      <c r="I36" s="11">
        <f>IF(OR(B36="",G36=""),"",H36-SUMPRODUCT(('🚢 COMMANDES'!$C$5:$C$154=B36)*('🚢 COMMANDES'!$E$5:$E$154=G36)*('🚢 COMMANDES'!$K$5:$K$154)*IF(ISNUMBER(SEARCH("TURBO",'🚢 COMMANDES'!$H$5:$H$154)),1080,1200)*18.14))</f>
        <v/>
      </c>
      <c r="J36" s="9" t="n"/>
      <c r="K36" s="9" t="n"/>
    </row>
    <row r="37" ht="24" customHeight="1">
      <c r="A37" s="7">
        <f>IF(B37&lt;&gt;"",ROW()-4,"")</f>
        <v/>
      </c>
      <c r="B37" s="8" t="n"/>
      <c r="C37" s="8" t="n"/>
      <c r="D37" s="9" t="n"/>
      <c r="E37" s="8" t="n"/>
      <c r="F37" s="8" t="n"/>
      <c r="G37" s="8" t="n"/>
      <c r="H37" s="10" t="n"/>
      <c r="I37" s="11">
        <f>IF(OR(B37="",G37=""),"",H37-SUMPRODUCT(('🚢 COMMANDES'!$C$5:$C$154=B37)*('🚢 COMMANDES'!$E$5:$E$154=G37)*('🚢 COMMANDES'!$K$5:$K$154)*IF(ISNUMBER(SEARCH("TURBO",'🚢 COMMANDES'!$H$5:$H$154)),1080,1200)*18.14))</f>
        <v/>
      </c>
      <c r="J37" s="9" t="n"/>
      <c r="K37" s="9" t="n"/>
    </row>
    <row r="38" ht="24" customHeight="1">
      <c r="A38" s="12">
        <f>IF(B38&lt;&gt;"",ROW()-4,"")</f>
        <v/>
      </c>
      <c r="B38" s="8" t="n"/>
      <c r="C38" s="8" t="n"/>
      <c r="D38" s="9" t="n"/>
      <c r="E38" s="8" t="n"/>
      <c r="F38" s="8" t="n"/>
      <c r="G38" s="8" t="n"/>
      <c r="H38" s="10" t="n"/>
      <c r="I38" s="11">
        <f>IF(OR(B38="",G38=""),"",H38-SUMPRODUCT(('🚢 COMMANDES'!$C$5:$C$154=B38)*('🚢 COMMANDES'!$E$5:$E$154=G38)*('🚢 COMMANDES'!$K$5:$K$154)*IF(ISNUMBER(SEARCH("TURBO",'🚢 COMMANDES'!$H$5:$H$154)),1080,1200)*18.14))</f>
        <v/>
      </c>
      <c r="J38" s="9" t="n"/>
      <c r="K38" s="9" t="n"/>
    </row>
    <row r="39" ht="24" customHeight="1">
      <c r="A39" s="7">
        <f>IF(B39&lt;&gt;"",ROW()-4,"")</f>
        <v/>
      </c>
      <c r="B39" s="8" t="n"/>
      <c r="C39" s="8" t="n"/>
      <c r="D39" s="9" t="n"/>
      <c r="E39" s="8" t="n"/>
      <c r="F39" s="8" t="n"/>
      <c r="G39" s="8" t="n"/>
      <c r="H39" s="10" t="n"/>
      <c r="I39" s="11">
        <f>IF(OR(B39="",G39=""),"",H39-SUMPRODUCT(('🚢 COMMANDES'!$C$5:$C$154=B39)*('🚢 COMMANDES'!$E$5:$E$154=G39)*('🚢 COMMANDES'!$K$5:$K$154)*IF(ISNUMBER(SEARCH("TURBO",'🚢 COMMANDES'!$H$5:$H$154)),1080,1200)*18.14))</f>
        <v/>
      </c>
      <c r="J39" s="9" t="n"/>
      <c r="K39" s="9" t="n"/>
    </row>
    <row r="40" ht="24" customHeight="1">
      <c r="A40" s="12">
        <f>IF(B40&lt;&gt;"",ROW()-4,"")</f>
        <v/>
      </c>
      <c r="B40" s="8" t="n"/>
      <c r="C40" s="8" t="n"/>
      <c r="D40" s="9" t="n"/>
      <c r="E40" s="8" t="n"/>
      <c r="F40" s="8" t="n"/>
      <c r="G40" s="8" t="n"/>
      <c r="H40" s="10" t="n"/>
      <c r="I40" s="11">
        <f>IF(OR(B40="",G40=""),"",H40-SUMPRODUCT(('🚢 COMMANDES'!$C$5:$C$154=B40)*('🚢 COMMANDES'!$E$5:$E$154=G40)*('🚢 COMMANDES'!$K$5:$K$154)*IF(ISNUMBER(SEARCH("TURBO",'🚢 COMMANDES'!$H$5:$H$154)),1080,1200)*18.14))</f>
        <v/>
      </c>
      <c r="J40" s="9" t="n"/>
      <c r="K40" s="9" t="n"/>
    </row>
    <row r="41" ht="24" customHeight="1">
      <c r="A41" s="7">
        <f>IF(B41&lt;&gt;"",ROW()-4,"")</f>
        <v/>
      </c>
      <c r="B41" s="8" t="n"/>
      <c r="C41" s="8" t="n"/>
      <c r="D41" s="9" t="n"/>
      <c r="E41" s="8" t="n"/>
      <c r="F41" s="8" t="n"/>
      <c r="G41" s="8" t="n"/>
      <c r="H41" s="10" t="n"/>
      <c r="I41" s="11">
        <f>IF(OR(B41="",G41=""),"",H41-SUMPRODUCT(('🚢 COMMANDES'!$C$5:$C$154=B41)*('🚢 COMMANDES'!$E$5:$E$154=G41)*('🚢 COMMANDES'!$K$5:$K$154)*IF(ISNUMBER(SEARCH("TURBO",'🚢 COMMANDES'!$H$5:$H$154)),1080,1200)*18.14))</f>
        <v/>
      </c>
      <c r="J41" s="9" t="n"/>
      <c r="K41" s="9" t="n"/>
    </row>
    <row r="42" ht="24" customHeight="1">
      <c r="A42" s="12">
        <f>IF(B42&lt;&gt;"",ROW()-4,"")</f>
        <v/>
      </c>
      <c r="B42" s="8" t="n"/>
      <c r="C42" s="8" t="n"/>
      <c r="D42" s="9" t="n"/>
      <c r="E42" s="8" t="n"/>
      <c r="F42" s="8" t="n"/>
      <c r="G42" s="8" t="n"/>
      <c r="H42" s="10" t="n"/>
      <c r="I42" s="11">
        <f>IF(OR(B42="",G42=""),"",H42-SUMPRODUCT(('🚢 COMMANDES'!$C$5:$C$154=B42)*('🚢 COMMANDES'!$E$5:$E$154=G42)*('🚢 COMMANDES'!$K$5:$K$154)*IF(ISNUMBER(SEARCH("TURBO",'🚢 COMMANDES'!$H$5:$H$154)),1080,1200)*18.14))</f>
        <v/>
      </c>
      <c r="J42" s="9" t="n"/>
      <c r="K42" s="9" t="n"/>
    </row>
    <row r="43" ht="24" customHeight="1">
      <c r="A43" s="7">
        <f>IF(B43&lt;&gt;"",ROW()-4,"")</f>
        <v/>
      </c>
      <c r="B43" s="8" t="n"/>
      <c r="C43" s="8" t="n"/>
      <c r="D43" s="9" t="n"/>
      <c r="E43" s="8" t="n"/>
      <c r="F43" s="8" t="n"/>
      <c r="G43" s="8" t="n"/>
      <c r="H43" s="10" t="n"/>
      <c r="I43" s="11">
        <f>IF(OR(B43="",G43=""),"",H43-SUMPRODUCT(('🚢 COMMANDES'!$C$5:$C$154=B43)*('🚢 COMMANDES'!$E$5:$E$154=G43)*('🚢 COMMANDES'!$K$5:$K$154)*IF(ISNUMBER(SEARCH("TURBO",'🚢 COMMANDES'!$H$5:$H$154)),1080,1200)*18.14))</f>
        <v/>
      </c>
      <c r="J43" s="9" t="n"/>
      <c r="K43" s="9" t="n"/>
    </row>
    <row r="44" ht="24" customHeight="1">
      <c r="A44" s="12">
        <f>IF(B44&lt;&gt;"",ROW()-4,"")</f>
        <v/>
      </c>
      <c r="B44" s="8" t="n"/>
      <c r="C44" s="8" t="n"/>
      <c r="D44" s="9" t="n"/>
      <c r="E44" s="8" t="n"/>
      <c r="F44" s="8" t="n"/>
      <c r="G44" s="8" t="n"/>
      <c r="H44" s="10" t="n"/>
      <c r="I44" s="11">
        <f>IF(OR(B44="",G44=""),"",H44-SUMPRODUCT(('🚢 COMMANDES'!$C$5:$C$154=B44)*('🚢 COMMANDES'!$E$5:$E$154=G44)*('🚢 COMMANDES'!$K$5:$K$154)*IF(ISNUMBER(SEARCH("TURBO",'🚢 COMMANDES'!$H$5:$H$154)),1080,1200)*18.14))</f>
        <v/>
      </c>
      <c r="J44" s="9" t="n"/>
      <c r="K44" s="9" t="n"/>
    </row>
    <row r="45" ht="24" customHeight="1">
      <c r="A45" s="7">
        <f>IF(B45&lt;&gt;"",ROW()-4,"")</f>
        <v/>
      </c>
      <c r="B45" s="8" t="n"/>
      <c r="C45" s="8" t="n"/>
      <c r="D45" s="9" t="n"/>
      <c r="E45" s="8" t="n"/>
      <c r="F45" s="8" t="n"/>
      <c r="G45" s="8" t="n"/>
      <c r="H45" s="10" t="n"/>
      <c r="I45" s="11">
        <f>IF(OR(B45="",G45=""),"",H45-SUMPRODUCT(('🚢 COMMANDES'!$C$5:$C$154=B45)*('🚢 COMMANDES'!$E$5:$E$154=G45)*('🚢 COMMANDES'!$K$5:$K$154)*IF(ISNUMBER(SEARCH("TURBO",'🚢 COMMANDES'!$H$5:$H$154)),1080,1200)*18.14))</f>
        <v/>
      </c>
      <c r="J45" s="9" t="n"/>
      <c r="K45" s="9" t="n"/>
    </row>
    <row r="46" ht="24" customHeight="1">
      <c r="A46" s="12">
        <f>IF(B46&lt;&gt;"",ROW()-4,"")</f>
        <v/>
      </c>
      <c r="B46" s="8" t="n"/>
      <c r="C46" s="8" t="n"/>
      <c r="D46" s="9" t="n"/>
      <c r="E46" s="8" t="n"/>
      <c r="F46" s="8" t="n"/>
      <c r="G46" s="8" t="n"/>
      <c r="H46" s="10" t="n"/>
      <c r="I46" s="11">
        <f>IF(OR(B46="",G46=""),"",H46-SUMPRODUCT(('🚢 COMMANDES'!$C$5:$C$154=B46)*('🚢 COMMANDES'!$E$5:$E$154=G46)*('🚢 COMMANDES'!$K$5:$K$154)*IF(ISNUMBER(SEARCH("TURBO",'🚢 COMMANDES'!$H$5:$H$154)),1080,1200)*18.14))</f>
        <v/>
      </c>
      <c r="J46" s="9" t="n"/>
      <c r="K46" s="9" t="n"/>
    </row>
    <row r="47" ht="24" customHeight="1">
      <c r="A47" s="7">
        <f>IF(B47&lt;&gt;"",ROW()-4,"")</f>
        <v/>
      </c>
      <c r="B47" s="8" t="n"/>
      <c r="C47" s="8" t="n"/>
      <c r="D47" s="9" t="n"/>
      <c r="E47" s="8" t="n"/>
      <c r="F47" s="8" t="n"/>
      <c r="G47" s="8" t="n"/>
      <c r="H47" s="10" t="n"/>
      <c r="I47" s="11">
        <f>IF(OR(B47="",G47=""),"",H47-SUMPRODUCT(('🚢 COMMANDES'!$C$5:$C$154=B47)*('🚢 COMMANDES'!$E$5:$E$154=G47)*('🚢 COMMANDES'!$K$5:$K$154)*IF(ISNUMBER(SEARCH("TURBO",'🚢 COMMANDES'!$H$5:$H$154)),1080,1200)*18.14))</f>
        <v/>
      </c>
      <c r="J47" s="9" t="n"/>
      <c r="K47" s="9" t="n"/>
    </row>
    <row r="48" ht="24" customHeight="1">
      <c r="A48" s="12">
        <f>IF(B48&lt;&gt;"",ROW()-4,"")</f>
        <v/>
      </c>
      <c r="B48" s="8" t="n"/>
      <c r="C48" s="8" t="n"/>
      <c r="D48" s="9" t="n"/>
      <c r="E48" s="8" t="n"/>
      <c r="F48" s="8" t="n"/>
      <c r="G48" s="8" t="n"/>
      <c r="H48" s="10" t="n"/>
      <c r="I48" s="11">
        <f>IF(OR(B48="",G48=""),"",H48-SUMPRODUCT(('🚢 COMMANDES'!$C$5:$C$154=B48)*('🚢 COMMANDES'!$E$5:$E$154=G48)*('🚢 COMMANDES'!$K$5:$K$154)*IF(ISNUMBER(SEARCH("TURBO",'🚢 COMMANDES'!$H$5:$H$154)),1080,1200)*18.14))</f>
        <v/>
      </c>
      <c r="J48" s="9" t="n"/>
      <c r="K48" s="9" t="n"/>
    </row>
    <row r="49" ht="24" customHeight="1">
      <c r="A49" s="7">
        <f>IF(B49&lt;&gt;"",ROW()-4,"")</f>
        <v/>
      </c>
      <c r="B49" s="8" t="n"/>
      <c r="C49" s="8" t="n"/>
      <c r="D49" s="9" t="n"/>
      <c r="E49" s="8" t="n"/>
      <c r="F49" s="8" t="n"/>
      <c r="G49" s="8" t="n"/>
      <c r="H49" s="10" t="n"/>
      <c r="I49" s="11">
        <f>IF(OR(B49="",G49=""),"",H49-SUMPRODUCT(('🚢 COMMANDES'!$C$5:$C$154=B49)*('🚢 COMMANDES'!$E$5:$E$154=G49)*('🚢 COMMANDES'!$K$5:$K$154)*IF(ISNUMBER(SEARCH("TURBO",'🚢 COMMANDES'!$H$5:$H$154)),1080,1200)*18.14))</f>
        <v/>
      </c>
      <c r="J49" s="9" t="n"/>
      <c r="K49" s="9" t="n"/>
    </row>
    <row r="50" ht="24" customHeight="1">
      <c r="A50" s="12">
        <f>IF(B50&lt;&gt;"",ROW()-4,"")</f>
        <v/>
      </c>
      <c r="B50" s="8" t="n"/>
      <c r="C50" s="8" t="n"/>
      <c r="D50" s="9" t="n"/>
      <c r="E50" s="8" t="n"/>
      <c r="F50" s="8" t="n"/>
      <c r="G50" s="8" t="n"/>
      <c r="H50" s="10" t="n"/>
      <c r="I50" s="11">
        <f>IF(OR(B50="",G50=""),"",H50-SUMPRODUCT(('🚢 COMMANDES'!$C$5:$C$154=B50)*('🚢 COMMANDES'!$E$5:$E$154=G50)*('🚢 COMMANDES'!$K$5:$K$154)*IF(ISNUMBER(SEARCH("TURBO",'🚢 COMMANDES'!$H$5:$H$154)),1080,1200)*18.14))</f>
        <v/>
      </c>
      <c r="J50" s="9" t="n"/>
      <c r="K50" s="9" t="n"/>
    </row>
    <row r="51" ht="24" customHeight="1">
      <c r="A51" s="7">
        <f>IF(B51&lt;&gt;"",ROW()-4,"")</f>
        <v/>
      </c>
      <c r="B51" s="8" t="n"/>
      <c r="C51" s="8" t="n"/>
      <c r="D51" s="9" t="n"/>
      <c r="E51" s="8" t="n"/>
      <c r="F51" s="8" t="n"/>
      <c r="G51" s="8" t="n"/>
      <c r="H51" s="10" t="n"/>
      <c r="I51" s="11">
        <f>IF(OR(B51="",G51=""),"",H51-SUMPRODUCT(('🚢 COMMANDES'!$C$5:$C$154=B51)*('🚢 COMMANDES'!$E$5:$E$154=G51)*('🚢 COMMANDES'!$K$5:$K$154)*IF(ISNUMBER(SEARCH("TURBO",'🚢 COMMANDES'!$H$5:$H$154)),1080,1200)*18.14))</f>
        <v/>
      </c>
      <c r="J51" s="9" t="n"/>
      <c r="K51" s="9" t="n"/>
    </row>
    <row r="52" ht="24" customHeight="1">
      <c r="A52" s="12">
        <f>IF(B52&lt;&gt;"",ROW()-4,"")</f>
        <v/>
      </c>
      <c r="B52" s="8" t="n"/>
      <c r="C52" s="8" t="n"/>
      <c r="D52" s="9" t="n"/>
      <c r="E52" s="8" t="n"/>
      <c r="F52" s="8" t="n"/>
      <c r="G52" s="8" t="n"/>
      <c r="H52" s="10" t="n"/>
      <c r="I52" s="11">
        <f>IF(OR(B52="",G52=""),"",H52-SUMPRODUCT(('🚢 COMMANDES'!$C$5:$C$154=B52)*('🚢 COMMANDES'!$E$5:$E$154=G52)*('🚢 COMMANDES'!$K$5:$K$154)*IF(ISNUMBER(SEARCH("TURBO",'🚢 COMMANDES'!$H$5:$H$154)),1080,1200)*18.14))</f>
        <v/>
      </c>
      <c r="J52" s="9" t="n"/>
      <c r="K52" s="9" t="n"/>
    </row>
    <row r="53" ht="24" customHeight="1">
      <c r="A53" s="7">
        <f>IF(B53&lt;&gt;"",ROW()-4,"")</f>
        <v/>
      </c>
      <c r="B53" s="8" t="n"/>
      <c r="C53" s="8" t="n"/>
      <c r="D53" s="9" t="n"/>
      <c r="E53" s="8" t="n"/>
      <c r="F53" s="8" t="n"/>
      <c r="G53" s="8" t="n"/>
      <c r="H53" s="10" t="n"/>
      <c r="I53" s="11">
        <f>IF(OR(B53="",G53=""),"",H53-SUMPRODUCT(('🚢 COMMANDES'!$C$5:$C$154=B53)*('🚢 COMMANDES'!$E$5:$E$154=G53)*('🚢 COMMANDES'!$K$5:$K$154)*IF(ISNUMBER(SEARCH("TURBO",'🚢 COMMANDES'!$H$5:$H$154)),1080,1200)*18.14))</f>
        <v/>
      </c>
      <c r="J53" s="9" t="n"/>
      <c r="K53" s="9" t="n"/>
    </row>
    <row r="54" ht="24" customHeight="1">
      <c r="A54" s="12">
        <f>IF(B54&lt;&gt;"",ROW()-4,"")</f>
        <v/>
      </c>
      <c r="B54" s="8" t="n"/>
      <c r="C54" s="8" t="n"/>
      <c r="D54" s="9" t="n"/>
      <c r="E54" s="8" t="n"/>
      <c r="F54" s="8" t="n"/>
      <c r="G54" s="8" t="n"/>
      <c r="H54" s="10" t="n"/>
      <c r="I54" s="11">
        <f>IF(OR(B54="",G54=""),"",H54-SUMPRODUCT(('🚢 COMMANDES'!$C$5:$C$154=B54)*('🚢 COMMANDES'!$E$5:$E$154=G54)*('🚢 COMMANDES'!$K$5:$K$154)*IF(ISNUMBER(SEARCH("TURBO",'🚢 COMMANDES'!$H$5:$H$154)),1080,1200)*18.14))</f>
        <v/>
      </c>
      <c r="J54" s="9" t="n"/>
      <c r="K54" s="9" t="n"/>
    </row>
    <row r="56" ht="14" customHeight="1">
      <c r="A56" s="13" t="inlineStr">
        <is>
          <t xml:space="preserve">  🤖  SOLDE = POIDS TOTAL − SOMME(commandes où CLIENT = col B  ET  LICENCE = col G) — chaque licence a son propre solde indépendant</t>
        </is>
      </c>
    </row>
  </sheetData>
  <mergeCells count="3">
    <mergeCell ref="A2:K2"/>
    <mergeCell ref="A56:K56"/>
    <mergeCell ref="A3:K3"/>
  </mergeCells>
  <conditionalFormatting sqref="I5:I54">
    <cfRule type="expression" priority="1" dxfId="0">
      <formula>AND(I5&lt;&gt;"",I5&lt;0)</formula>
    </cfRule>
    <cfRule type="expression" priority="2" dxfId="0">
      <formula>AND(I5&gt;=0,I5&lt;19591.2)</formula>
    </cfRule>
    <cfRule type="expression" priority="3" dxfId="1">
      <formula>AND(I5&gt;=19591.2,I5&lt;58773.6)</formula>
    </cfRule>
    <cfRule type="expression" priority="4" dxfId="2">
      <formula>I5&gt;=58773.6</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15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28" customWidth="1" min="3" max="3"/>
    <col width="16" customWidth="1" min="4" max="4"/>
    <col width="26" customWidth="1" min="5" max="5"/>
    <col width="22" customWidth="1" min="6" max="6"/>
    <col width="14" customWidth="1" min="7" max="7"/>
    <col width="20" customWidth="1" min="8" max="8"/>
    <col width="14" customWidth="1" min="9" max="9"/>
    <col width="14" customWidth="1" min="10" max="10"/>
    <col width="6" customWidth="1" min="11" max="11"/>
    <col width="14" customWidth="1" min="12" max="12"/>
    <col width="18" customWidth="1" min="13" max="13"/>
  </cols>
  <sheetData>
    <row r="1" ht="10" customHeight="1"/>
    <row r="2" ht="42" customHeight="1">
      <c r="A2" s="1" t="inlineStr">
        <is>
          <t>🚢   EDEN FOOD — COMMANDES À PRÉPARER</t>
        </is>
      </c>
    </row>
    <row r="3" ht="14" customHeight="1">
      <c r="A3" s="14" t="inlineStr">
        <is>
          <t xml:space="preserve">  🔽  Cols C et E = LISTES DÉROULANTES automatiques depuis BASE CLIENTS  |  Sélectionne le client → sélectionne la licence → le solde se met à jour tout seul</t>
        </is>
      </c>
    </row>
    <row r="4" ht="44" customHeight="1">
      <c r="A4" s="3" t="inlineStr">
        <is>
          <t>#</t>
        </is>
      </c>
      <c r="B4" s="4" t="inlineStr">
        <is>
          <t>SEM.</t>
        </is>
      </c>
      <c r="C4" s="4" t="inlineStr">
        <is>
          <t>CLIENT
🔽 Liste</t>
        </is>
      </c>
      <c r="D4" s="4" t="inlineStr">
        <is>
          <t>RÉFÉRENCE
BOOKING</t>
        </is>
      </c>
      <c r="E4" s="6" t="inlineStr">
        <is>
          <t>N° LICENCE
🔽 Liste</t>
        </is>
      </c>
      <c r="F4" s="4" t="inlineStr">
        <is>
          <t>NAVIRE</t>
        </is>
      </c>
      <c r="G4" s="4" t="inlineStr">
        <is>
          <t>N° VOYAGE</t>
        </is>
      </c>
      <c r="H4" s="4" t="inlineStr">
        <is>
          <t>POL
🔽 Liste</t>
        </is>
      </c>
      <c r="I4" s="4" t="inlineStr">
        <is>
          <t>DATE DÉPART</t>
        </is>
      </c>
      <c r="J4" s="4" t="inlineStr">
        <is>
          <t>ETA</t>
        </is>
      </c>
      <c r="K4" s="4" t="inlineStr">
        <is>
          <t>NBR
CNT</t>
        </is>
      </c>
      <c r="L4" s="4" t="inlineStr">
        <is>
          <t>PRODUIT</t>
        </is>
      </c>
      <c r="M4" s="15" t="inlineStr">
        <is>
          <t>STATUT</t>
        </is>
      </c>
    </row>
    <row r="5" ht="22" customHeight="1">
      <c r="A5" s="7">
        <f>IF(C5&lt;&gt;"",ROW()-4,"")</f>
        <v/>
      </c>
      <c r="B5" s="16" t="inlineStr">
        <is>
          <t>S-18</t>
        </is>
      </c>
      <c r="C5" s="17" t="inlineStr">
        <is>
          <t>EURL ISLAM FRUITS IMPORT / EXPORT</t>
        </is>
      </c>
      <c r="D5" s="16" t="inlineStr">
        <is>
          <t>LHV4005539</t>
        </is>
      </c>
      <c r="E5" s="18" t="inlineStr">
        <is>
          <t>1195 DPVCT/SDCT/2025</t>
        </is>
      </c>
      <c r="F5" s="16" t="inlineStr">
        <is>
          <t>CMA CGM EXCELLENCE</t>
        </is>
      </c>
      <c r="G5" s="16" t="inlineStr">
        <is>
          <t>0DVOPN1MA</t>
        </is>
      </c>
      <c r="H5" s="16" t="inlineStr">
        <is>
          <t>TURBO(COLOMBIA)</t>
        </is>
      </c>
      <c r="I5" s="19" t="inlineStr">
        <is>
          <t>02/05/2026</t>
        </is>
      </c>
      <c r="J5" s="19" t="inlineStr">
        <is>
          <t>19/05/2026</t>
        </is>
      </c>
      <c r="K5" s="16" t="n">
        <v>1</v>
      </c>
      <c r="L5" s="16" t="inlineStr">
        <is>
          <t>BANANE</t>
        </is>
      </c>
      <c r="M5" s="20" t="inlineStr">
        <is>
          <t>✅ GÉNÉRÉ</t>
        </is>
      </c>
    </row>
    <row r="6" ht="22" customHeight="1">
      <c r="A6" s="12">
        <f>IF(C6&lt;&gt;"",ROW()-4,"")</f>
        <v/>
      </c>
      <c r="B6" s="16" t="inlineStr">
        <is>
          <t>S-19</t>
        </is>
      </c>
      <c r="C6" s="17" t="inlineStr">
        <is>
          <t>EURL ISLAM FRUITS IMPORT / EXPORT</t>
        </is>
      </c>
      <c r="D6" s="16" t="inlineStr">
        <is>
          <t>LHV4005540</t>
        </is>
      </c>
      <c r="E6" s="18" t="inlineStr">
        <is>
          <t>1195 DPVCT/SDCT/2025</t>
        </is>
      </c>
      <c r="F6" s="16" t="inlineStr">
        <is>
          <t>CMA CGM EXCELLENCE</t>
        </is>
      </c>
      <c r="G6" s="16" t="inlineStr">
        <is>
          <t>0DVOPN1MA</t>
        </is>
      </c>
      <c r="H6" s="16" t="inlineStr">
        <is>
          <t>MOIN(COSTA RICA)</t>
        </is>
      </c>
      <c r="I6" s="19" t="inlineStr">
        <is>
          <t>07/05/2026</t>
        </is>
      </c>
      <c r="J6" s="19" t="inlineStr">
        <is>
          <t>26/05/2026</t>
        </is>
      </c>
      <c r="K6" s="16" t="n">
        <v>15</v>
      </c>
      <c r="L6" s="16" t="inlineStr">
        <is>
          <t>BANANE</t>
        </is>
      </c>
      <c r="M6" s="20" t="inlineStr">
        <is>
          <t>⏳ À GÉNÉRER</t>
        </is>
      </c>
    </row>
    <row r="7" ht="22" customHeight="1">
      <c r="A7" s="7">
        <f>IF(C7&lt;&gt;"",ROW()-4,"")</f>
        <v/>
      </c>
      <c r="B7" s="16" t="inlineStr">
        <is>
          <t>S-20</t>
        </is>
      </c>
      <c r="C7" s="17" t="inlineStr">
        <is>
          <t>EURL ISLAM FRUITS IMPORT / EXPORT</t>
        </is>
      </c>
      <c r="D7" s="16" t="inlineStr">
        <is>
          <t>LHV4005541</t>
        </is>
      </c>
      <c r="E7" s="18" t="inlineStr">
        <is>
          <t>1196 DPVCT/SDCT/2025</t>
        </is>
      </c>
      <c r="F7" s="16" t="inlineStr">
        <is>
          <t>CMA CGM BRAVO</t>
        </is>
      </c>
      <c r="G7" s="16" t="inlineStr">
        <is>
          <t>0DVOPN1MA</t>
        </is>
      </c>
      <c r="H7" s="16" t="inlineStr">
        <is>
          <t>TURBO(COLOMBIA)</t>
        </is>
      </c>
      <c r="I7" s="19" t="inlineStr">
        <is>
          <t>15/05/2026</t>
        </is>
      </c>
      <c r="J7" s="19" t="inlineStr">
        <is>
          <t>01/06/2026</t>
        </is>
      </c>
      <c r="K7" s="16" t="n">
        <v>8</v>
      </c>
      <c r="L7" s="16" t="inlineStr">
        <is>
          <t>BANANE</t>
        </is>
      </c>
      <c r="M7" s="20" t="inlineStr">
        <is>
          <t>⏳ À GÉNÉRER</t>
        </is>
      </c>
    </row>
    <row r="8" ht="22" customHeight="1">
      <c r="A8" s="12">
        <f>IF(C8&lt;&gt;"",ROW()-4,"")</f>
        <v/>
      </c>
      <c r="B8" s="16" t="inlineStr">
        <is>
          <t>S-21</t>
        </is>
      </c>
      <c r="C8" s="17" t="inlineStr">
        <is>
          <t>EURL ISLAM FRUITS IMPORT / EXPORT</t>
        </is>
      </c>
      <c r="D8" s="16" t="inlineStr">
        <is>
          <t>LHV4005542</t>
        </is>
      </c>
      <c r="E8" s="18" t="inlineStr">
        <is>
          <t>1196 DPVCT/SDCT/2025</t>
        </is>
      </c>
      <c r="F8" s="16" t="inlineStr">
        <is>
          <t>CMA CGM OK</t>
        </is>
      </c>
      <c r="G8" s="16" t="inlineStr">
        <is>
          <t>0DVOPN1MA</t>
        </is>
      </c>
      <c r="H8" s="16" t="inlineStr">
        <is>
          <t>MOIN(COSTA RICA)</t>
        </is>
      </c>
      <c r="I8" s="19" t="inlineStr">
        <is>
          <t>21/05/2026</t>
        </is>
      </c>
      <c r="J8" s="19" t="inlineStr">
        <is>
          <t>08/06/2026</t>
        </is>
      </c>
      <c r="K8" s="16" t="n">
        <v>7</v>
      </c>
      <c r="L8" s="16" t="inlineStr">
        <is>
          <t>BANANE</t>
        </is>
      </c>
      <c r="M8" s="20" t="inlineStr">
        <is>
          <t>⏳ À GÉNÉRER</t>
        </is>
      </c>
    </row>
    <row r="9" ht="22" customHeight="1">
      <c r="A9" s="7">
        <f>IF(C9&lt;&gt;"",ROW()-4,"")</f>
        <v/>
      </c>
      <c r="B9" s="16" t="n"/>
      <c r="C9" s="17" t="n"/>
      <c r="D9" s="16" t="n"/>
      <c r="E9" s="18" t="n"/>
      <c r="F9" s="16" t="n"/>
      <c r="G9" s="16" t="n"/>
      <c r="H9" s="16" t="n"/>
      <c r="I9" s="19" t="n"/>
      <c r="J9" s="19" t="n"/>
      <c r="K9" s="16" t="n"/>
      <c r="L9" s="16" t="n"/>
      <c r="M9" s="20">
        <f>IF(C9&lt;&gt;"","⏳ À GÉNÉRER","")</f>
        <v/>
      </c>
    </row>
    <row r="10" ht="22" customHeight="1">
      <c r="A10" s="12">
        <f>IF(C10&lt;&gt;"",ROW()-4,"")</f>
        <v/>
      </c>
      <c r="B10" s="16" t="n"/>
      <c r="C10" s="17" t="n"/>
      <c r="D10" s="16" t="n"/>
      <c r="E10" s="18" t="n"/>
      <c r="F10" s="16" t="n"/>
      <c r="G10" s="16" t="n"/>
      <c r="H10" s="16" t="n"/>
      <c r="I10" s="19" t="n"/>
      <c r="J10" s="19" t="n"/>
      <c r="K10" s="16" t="n"/>
      <c r="L10" s="16" t="n"/>
      <c r="M10" s="20">
        <f>IF(C10&lt;&gt;"","⏳ À GÉNÉRER","")</f>
        <v/>
      </c>
    </row>
    <row r="11" ht="22" customHeight="1">
      <c r="A11" s="7">
        <f>IF(C11&lt;&gt;"",ROW()-4,"")</f>
        <v/>
      </c>
      <c r="B11" s="16" t="n"/>
      <c r="C11" s="17" t="n"/>
      <c r="D11" s="16" t="n"/>
      <c r="E11" s="18" t="n"/>
      <c r="F11" s="16" t="n"/>
      <c r="G11" s="16" t="n"/>
      <c r="H11" s="16" t="n"/>
      <c r="I11" s="19" t="n"/>
      <c r="J11" s="19" t="n"/>
      <c r="K11" s="16" t="n"/>
      <c r="L11" s="16" t="n"/>
      <c r="M11" s="20">
        <f>IF(C11&lt;&gt;"","⏳ À GÉNÉRER","")</f>
        <v/>
      </c>
    </row>
    <row r="12" ht="22" customHeight="1">
      <c r="A12" s="12">
        <f>IF(C12&lt;&gt;"",ROW()-4,"")</f>
        <v/>
      </c>
      <c r="B12" s="16" t="n"/>
      <c r="C12" s="17" t="n"/>
      <c r="D12" s="16" t="n"/>
      <c r="E12" s="18" t="n"/>
      <c r="F12" s="16" t="n"/>
      <c r="G12" s="16" t="n"/>
      <c r="H12" s="16" t="n"/>
      <c r="I12" s="19" t="n"/>
      <c r="J12" s="19" t="n"/>
      <c r="K12" s="16" t="n"/>
      <c r="L12" s="16" t="n"/>
      <c r="M12" s="20">
        <f>IF(C12&lt;&gt;"","⏳ À GÉNÉRER","")</f>
        <v/>
      </c>
    </row>
    <row r="13" ht="22" customHeight="1">
      <c r="A13" s="7">
        <f>IF(C13&lt;&gt;"",ROW()-4,"")</f>
        <v/>
      </c>
      <c r="B13" s="16" t="n"/>
      <c r="C13" s="17" t="n"/>
      <c r="D13" s="16" t="n"/>
      <c r="E13" s="18" t="n"/>
      <c r="F13" s="16" t="n"/>
      <c r="G13" s="16" t="n"/>
      <c r="H13" s="16" t="n"/>
      <c r="I13" s="19" t="n"/>
      <c r="J13" s="19" t="n"/>
      <c r="K13" s="16" t="n"/>
      <c r="L13" s="16" t="n"/>
      <c r="M13" s="20">
        <f>IF(C13&lt;&gt;"","⏳ À GÉNÉRER","")</f>
        <v/>
      </c>
    </row>
    <row r="14" ht="22" customHeight="1">
      <c r="A14" s="12">
        <f>IF(C14&lt;&gt;"",ROW()-4,"")</f>
        <v/>
      </c>
      <c r="B14" s="16" t="n"/>
      <c r="C14" s="17" t="n"/>
      <c r="D14" s="16" t="n"/>
      <c r="E14" s="18" t="n"/>
      <c r="F14" s="16" t="n"/>
      <c r="G14" s="16" t="n"/>
      <c r="H14" s="16" t="n"/>
      <c r="I14" s="19" t="n"/>
      <c r="J14" s="19" t="n"/>
      <c r="K14" s="16" t="n"/>
      <c r="L14" s="16" t="n"/>
      <c r="M14" s="20">
        <f>IF(C14&lt;&gt;"","⏳ À GÉNÉRER","")</f>
        <v/>
      </c>
    </row>
    <row r="15" ht="22" customHeight="1">
      <c r="A15" s="7">
        <f>IF(C15&lt;&gt;"",ROW()-4,"")</f>
        <v/>
      </c>
      <c r="B15" s="16" t="n"/>
      <c r="C15" s="17" t="n"/>
      <c r="D15" s="16" t="n"/>
      <c r="E15" s="18" t="n"/>
      <c r="F15" s="16" t="n"/>
      <c r="G15" s="16" t="n"/>
      <c r="H15" s="16" t="n"/>
      <c r="I15" s="19" t="n"/>
      <c r="J15" s="19" t="n"/>
      <c r="K15" s="16" t="n"/>
      <c r="L15" s="16" t="n"/>
      <c r="M15" s="20">
        <f>IF(C15&lt;&gt;"","⏳ À GÉNÉRER","")</f>
        <v/>
      </c>
    </row>
    <row r="16" ht="22" customHeight="1">
      <c r="A16" s="12">
        <f>IF(C16&lt;&gt;"",ROW()-4,"")</f>
        <v/>
      </c>
      <c r="B16" s="16" t="n"/>
      <c r="C16" s="17" t="n"/>
      <c r="D16" s="16" t="n"/>
      <c r="E16" s="18" t="n"/>
      <c r="F16" s="16" t="n"/>
      <c r="G16" s="16" t="n"/>
      <c r="H16" s="16" t="n"/>
      <c r="I16" s="19" t="n"/>
      <c r="J16" s="19" t="n"/>
      <c r="K16" s="16" t="n"/>
      <c r="L16" s="16" t="n"/>
      <c r="M16" s="20">
        <f>IF(C16&lt;&gt;"","⏳ À GÉNÉRER","")</f>
        <v/>
      </c>
    </row>
    <row r="17" ht="22" customHeight="1">
      <c r="A17" s="7">
        <f>IF(C17&lt;&gt;"",ROW()-4,"")</f>
        <v/>
      </c>
      <c r="B17" s="16" t="n"/>
      <c r="C17" s="17" t="n"/>
      <c r="D17" s="16" t="n"/>
      <c r="E17" s="18" t="n"/>
      <c r="F17" s="16" t="n"/>
      <c r="G17" s="16" t="n"/>
      <c r="H17" s="16" t="n"/>
      <c r="I17" s="19" t="n"/>
      <c r="J17" s="19" t="n"/>
      <c r="K17" s="16" t="n"/>
      <c r="L17" s="16" t="n"/>
      <c r="M17" s="20">
        <f>IF(C17&lt;&gt;"","⏳ À GÉNÉRER","")</f>
        <v/>
      </c>
    </row>
    <row r="18" ht="22" customHeight="1">
      <c r="A18" s="12">
        <f>IF(C18&lt;&gt;"",ROW()-4,"")</f>
        <v/>
      </c>
      <c r="B18" s="16" t="n"/>
      <c r="C18" s="17" t="n"/>
      <c r="D18" s="16" t="n"/>
      <c r="E18" s="18" t="n"/>
      <c r="F18" s="16" t="n"/>
      <c r="G18" s="16" t="n"/>
      <c r="H18" s="16" t="n"/>
      <c r="I18" s="19" t="n"/>
      <c r="J18" s="19" t="n"/>
      <c r="K18" s="16" t="n"/>
      <c r="L18" s="16" t="n"/>
      <c r="M18" s="20">
        <f>IF(C18&lt;&gt;"","⏳ À GÉNÉRER","")</f>
        <v/>
      </c>
    </row>
    <row r="19" ht="22" customHeight="1">
      <c r="A19" s="7">
        <f>IF(C19&lt;&gt;"",ROW()-4,"")</f>
        <v/>
      </c>
      <c r="B19" s="16" t="n"/>
      <c r="C19" s="17" t="n"/>
      <c r="D19" s="16" t="n"/>
      <c r="E19" s="18" t="n"/>
      <c r="F19" s="16" t="n"/>
      <c r="G19" s="16" t="n"/>
      <c r="H19" s="16" t="n"/>
      <c r="I19" s="19" t="n"/>
      <c r="J19" s="19" t="n"/>
      <c r="K19" s="16" t="n"/>
      <c r="L19" s="16" t="n"/>
      <c r="M19" s="20">
        <f>IF(C19&lt;&gt;"","⏳ À GÉNÉRER","")</f>
        <v/>
      </c>
    </row>
    <row r="20" ht="22" customHeight="1">
      <c r="A20" s="12">
        <f>IF(C20&lt;&gt;"",ROW()-4,"")</f>
        <v/>
      </c>
      <c r="B20" s="16" t="n"/>
      <c r="C20" s="17" t="n"/>
      <c r="D20" s="16" t="n"/>
      <c r="E20" s="18" t="n"/>
      <c r="F20" s="16" t="n"/>
      <c r="G20" s="16" t="n"/>
      <c r="H20" s="16" t="n"/>
      <c r="I20" s="19" t="n"/>
      <c r="J20" s="19" t="n"/>
      <c r="K20" s="16" t="n"/>
      <c r="L20" s="16" t="n"/>
      <c r="M20" s="20">
        <f>IF(C20&lt;&gt;"","⏳ À GÉNÉRER","")</f>
        <v/>
      </c>
    </row>
    <row r="21" ht="22" customHeight="1">
      <c r="A21" s="7">
        <f>IF(C21&lt;&gt;"",ROW()-4,"")</f>
        <v/>
      </c>
      <c r="B21" s="16" t="n"/>
      <c r="C21" s="17" t="n"/>
      <c r="D21" s="16" t="n"/>
      <c r="E21" s="18" t="n"/>
      <c r="F21" s="16" t="n"/>
      <c r="G21" s="16" t="n"/>
      <c r="H21" s="16" t="n"/>
      <c r="I21" s="19" t="n"/>
      <c r="J21" s="19" t="n"/>
      <c r="K21" s="16" t="n"/>
      <c r="L21" s="16" t="n"/>
      <c r="M21" s="20">
        <f>IF(C21&lt;&gt;"","⏳ À GÉNÉRER","")</f>
        <v/>
      </c>
    </row>
    <row r="22" ht="22" customHeight="1">
      <c r="A22" s="12">
        <f>IF(C22&lt;&gt;"",ROW()-4,"")</f>
        <v/>
      </c>
      <c r="B22" s="16" t="n"/>
      <c r="C22" s="17" t="n"/>
      <c r="D22" s="16" t="n"/>
      <c r="E22" s="18" t="n"/>
      <c r="F22" s="16" t="n"/>
      <c r="G22" s="16" t="n"/>
      <c r="H22" s="16" t="n"/>
      <c r="I22" s="19" t="n"/>
      <c r="J22" s="19" t="n"/>
      <c r="K22" s="16" t="n"/>
      <c r="L22" s="16" t="n"/>
      <c r="M22" s="20">
        <f>IF(C22&lt;&gt;"","⏳ À GÉNÉRER","")</f>
        <v/>
      </c>
    </row>
    <row r="23" ht="22" customHeight="1">
      <c r="A23" s="7">
        <f>IF(C23&lt;&gt;"",ROW()-4,"")</f>
        <v/>
      </c>
      <c r="B23" s="16" t="n"/>
      <c r="C23" s="17" t="n"/>
      <c r="D23" s="16" t="n"/>
      <c r="E23" s="18" t="n"/>
      <c r="F23" s="16" t="n"/>
      <c r="G23" s="16" t="n"/>
      <c r="H23" s="16" t="n"/>
      <c r="I23" s="19" t="n"/>
      <c r="J23" s="19" t="n"/>
      <c r="K23" s="16" t="n"/>
      <c r="L23" s="16" t="n"/>
      <c r="M23" s="20">
        <f>IF(C23&lt;&gt;"","⏳ À GÉNÉRER","")</f>
        <v/>
      </c>
    </row>
    <row r="24" ht="22" customHeight="1">
      <c r="A24" s="12">
        <f>IF(C24&lt;&gt;"",ROW()-4,"")</f>
        <v/>
      </c>
      <c r="B24" s="16" t="n"/>
      <c r="C24" s="17" t="n"/>
      <c r="D24" s="16" t="n"/>
      <c r="E24" s="18" t="n"/>
      <c r="F24" s="16" t="n"/>
      <c r="G24" s="16" t="n"/>
      <c r="H24" s="16" t="n"/>
      <c r="I24" s="19" t="n"/>
      <c r="J24" s="19" t="n"/>
      <c r="K24" s="16" t="n"/>
      <c r="L24" s="16" t="n"/>
      <c r="M24" s="20">
        <f>IF(C24&lt;&gt;"","⏳ À GÉNÉRER","")</f>
        <v/>
      </c>
    </row>
    <row r="25" ht="22" customHeight="1">
      <c r="A25" s="7">
        <f>IF(C25&lt;&gt;"",ROW()-4,"")</f>
        <v/>
      </c>
      <c r="B25" s="16" t="n"/>
      <c r="C25" s="17" t="n"/>
      <c r="D25" s="16" t="n"/>
      <c r="E25" s="18" t="n"/>
      <c r="F25" s="16" t="n"/>
      <c r="G25" s="16" t="n"/>
      <c r="H25" s="16" t="n"/>
      <c r="I25" s="19" t="n"/>
      <c r="J25" s="19" t="n"/>
      <c r="K25" s="16" t="n"/>
      <c r="L25" s="16" t="n"/>
      <c r="M25" s="20">
        <f>IF(C25&lt;&gt;"","⏳ À GÉNÉRER","")</f>
        <v/>
      </c>
    </row>
    <row r="26" ht="22" customHeight="1">
      <c r="A26" s="12">
        <f>IF(C26&lt;&gt;"",ROW()-4,"")</f>
        <v/>
      </c>
      <c r="B26" s="16" t="n"/>
      <c r="C26" s="17" t="n"/>
      <c r="D26" s="16" t="n"/>
      <c r="E26" s="18" t="n"/>
      <c r="F26" s="16" t="n"/>
      <c r="G26" s="16" t="n"/>
      <c r="H26" s="16" t="n"/>
      <c r="I26" s="19" t="n"/>
      <c r="J26" s="19" t="n"/>
      <c r="K26" s="16" t="n"/>
      <c r="L26" s="16" t="n"/>
      <c r="M26" s="20">
        <f>IF(C26&lt;&gt;"","⏳ À GÉNÉRER","")</f>
        <v/>
      </c>
    </row>
    <row r="27" ht="22" customHeight="1">
      <c r="A27" s="7">
        <f>IF(C27&lt;&gt;"",ROW()-4,"")</f>
        <v/>
      </c>
      <c r="B27" s="16" t="n"/>
      <c r="C27" s="17" t="n"/>
      <c r="D27" s="16" t="n"/>
      <c r="E27" s="18" t="n"/>
      <c r="F27" s="16" t="n"/>
      <c r="G27" s="16" t="n"/>
      <c r="H27" s="16" t="n"/>
      <c r="I27" s="19" t="n"/>
      <c r="J27" s="19" t="n"/>
      <c r="K27" s="16" t="n"/>
      <c r="L27" s="16" t="n"/>
      <c r="M27" s="20">
        <f>IF(C27&lt;&gt;"","⏳ À GÉNÉRER","")</f>
        <v/>
      </c>
    </row>
    <row r="28" ht="22" customHeight="1">
      <c r="A28" s="12">
        <f>IF(C28&lt;&gt;"",ROW()-4,"")</f>
        <v/>
      </c>
      <c r="B28" s="16" t="n"/>
      <c r="C28" s="17" t="n"/>
      <c r="D28" s="16" t="n"/>
      <c r="E28" s="18" t="n"/>
      <c r="F28" s="16" t="n"/>
      <c r="G28" s="16" t="n"/>
      <c r="H28" s="16" t="n"/>
      <c r="I28" s="19" t="n"/>
      <c r="J28" s="19" t="n"/>
      <c r="K28" s="16" t="n"/>
      <c r="L28" s="16" t="n"/>
      <c r="M28" s="20">
        <f>IF(C28&lt;&gt;"","⏳ À GÉNÉRER","")</f>
        <v/>
      </c>
    </row>
    <row r="29" ht="22" customHeight="1">
      <c r="A29" s="7">
        <f>IF(C29&lt;&gt;"",ROW()-4,"")</f>
        <v/>
      </c>
      <c r="B29" s="16" t="n"/>
      <c r="C29" s="17" t="n"/>
      <c r="D29" s="16" t="n"/>
      <c r="E29" s="18" t="n"/>
      <c r="F29" s="16" t="n"/>
      <c r="G29" s="16" t="n"/>
      <c r="H29" s="16" t="n"/>
      <c r="I29" s="19" t="n"/>
      <c r="J29" s="19" t="n"/>
      <c r="K29" s="16" t="n"/>
      <c r="L29" s="16" t="n"/>
      <c r="M29" s="20">
        <f>IF(C29&lt;&gt;"","⏳ À GÉNÉRER","")</f>
        <v/>
      </c>
    </row>
    <row r="30" ht="22" customHeight="1">
      <c r="A30" s="12">
        <f>IF(C30&lt;&gt;"",ROW()-4,"")</f>
        <v/>
      </c>
      <c r="B30" s="16" t="n"/>
      <c r="C30" s="17" t="n"/>
      <c r="D30" s="16" t="n"/>
      <c r="E30" s="18" t="n"/>
      <c r="F30" s="16" t="n"/>
      <c r="G30" s="16" t="n"/>
      <c r="H30" s="16" t="n"/>
      <c r="I30" s="19" t="n"/>
      <c r="J30" s="19" t="n"/>
      <c r="K30" s="16" t="n"/>
      <c r="L30" s="16" t="n"/>
      <c r="M30" s="20">
        <f>IF(C30&lt;&gt;"","⏳ À GÉNÉRER","")</f>
        <v/>
      </c>
    </row>
    <row r="31" ht="22" customHeight="1">
      <c r="A31" s="7">
        <f>IF(C31&lt;&gt;"",ROW()-4,"")</f>
        <v/>
      </c>
      <c r="B31" s="16" t="n"/>
      <c r="C31" s="17" t="n"/>
      <c r="D31" s="16" t="n"/>
      <c r="E31" s="18" t="n"/>
      <c r="F31" s="16" t="n"/>
      <c r="G31" s="16" t="n"/>
      <c r="H31" s="16" t="n"/>
      <c r="I31" s="19" t="n"/>
      <c r="J31" s="19" t="n"/>
      <c r="K31" s="16" t="n"/>
      <c r="L31" s="16" t="n"/>
      <c r="M31" s="20">
        <f>IF(C31&lt;&gt;"","⏳ À GÉNÉRER","")</f>
        <v/>
      </c>
    </row>
    <row r="32" ht="22" customHeight="1">
      <c r="A32" s="12">
        <f>IF(C32&lt;&gt;"",ROW()-4,"")</f>
        <v/>
      </c>
      <c r="B32" s="16" t="n"/>
      <c r="C32" s="17" t="n"/>
      <c r="D32" s="16" t="n"/>
      <c r="E32" s="18" t="n"/>
      <c r="F32" s="16" t="n"/>
      <c r="G32" s="16" t="n"/>
      <c r="H32" s="16" t="n"/>
      <c r="I32" s="19" t="n"/>
      <c r="J32" s="19" t="n"/>
      <c r="K32" s="16" t="n"/>
      <c r="L32" s="16" t="n"/>
      <c r="M32" s="20">
        <f>IF(C32&lt;&gt;"","⏳ À GÉNÉRER","")</f>
        <v/>
      </c>
    </row>
    <row r="33" ht="22" customHeight="1">
      <c r="A33" s="7">
        <f>IF(C33&lt;&gt;"",ROW()-4,"")</f>
        <v/>
      </c>
      <c r="B33" s="16" t="n"/>
      <c r="C33" s="17" t="n"/>
      <c r="D33" s="16" t="n"/>
      <c r="E33" s="18" t="n"/>
      <c r="F33" s="16" t="n"/>
      <c r="G33" s="16" t="n"/>
      <c r="H33" s="16" t="n"/>
      <c r="I33" s="19" t="n"/>
      <c r="J33" s="19" t="n"/>
      <c r="K33" s="16" t="n"/>
      <c r="L33" s="16" t="n"/>
      <c r="M33" s="20">
        <f>IF(C33&lt;&gt;"","⏳ À GÉNÉRER","")</f>
        <v/>
      </c>
    </row>
    <row r="34" ht="22" customHeight="1">
      <c r="A34" s="12">
        <f>IF(C34&lt;&gt;"",ROW()-4,"")</f>
        <v/>
      </c>
      <c r="B34" s="16" t="n"/>
      <c r="C34" s="17" t="n"/>
      <c r="D34" s="16" t="n"/>
      <c r="E34" s="18" t="n"/>
      <c r="F34" s="16" t="n"/>
      <c r="G34" s="16" t="n"/>
      <c r="H34" s="16" t="n"/>
      <c r="I34" s="19" t="n"/>
      <c r="J34" s="19" t="n"/>
      <c r="K34" s="16" t="n"/>
      <c r="L34" s="16" t="n"/>
      <c r="M34" s="20">
        <f>IF(C34&lt;&gt;"","⏳ À GÉNÉRER","")</f>
        <v/>
      </c>
    </row>
    <row r="35" ht="22" customHeight="1">
      <c r="A35" s="7">
        <f>IF(C35&lt;&gt;"",ROW()-4,"")</f>
        <v/>
      </c>
      <c r="B35" s="16" t="n"/>
      <c r="C35" s="17" t="n"/>
      <c r="D35" s="16" t="n"/>
      <c r="E35" s="18" t="n"/>
      <c r="F35" s="16" t="n"/>
      <c r="G35" s="16" t="n"/>
      <c r="H35" s="16" t="n"/>
      <c r="I35" s="19" t="n"/>
      <c r="J35" s="19" t="n"/>
      <c r="K35" s="16" t="n"/>
      <c r="L35" s="16" t="n"/>
      <c r="M35" s="20">
        <f>IF(C35&lt;&gt;"","⏳ À GÉNÉRER","")</f>
        <v/>
      </c>
    </row>
    <row r="36" ht="22" customHeight="1">
      <c r="A36" s="12">
        <f>IF(C36&lt;&gt;"",ROW()-4,"")</f>
        <v/>
      </c>
      <c r="B36" s="16" t="n"/>
      <c r="C36" s="17" t="n"/>
      <c r="D36" s="16" t="n"/>
      <c r="E36" s="18" t="n"/>
      <c r="F36" s="16" t="n"/>
      <c r="G36" s="16" t="n"/>
      <c r="H36" s="16" t="n"/>
      <c r="I36" s="19" t="n"/>
      <c r="J36" s="19" t="n"/>
      <c r="K36" s="16" t="n"/>
      <c r="L36" s="16" t="n"/>
      <c r="M36" s="20">
        <f>IF(C36&lt;&gt;"","⏳ À GÉNÉRER","")</f>
        <v/>
      </c>
    </row>
    <row r="37" ht="22" customHeight="1">
      <c r="A37" s="7">
        <f>IF(C37&lt;&gt;"",ROW()-4,"")</f>
        <v/>
      </c>
      <c r="B37" s="16" t="n"/>
      <c r="C37" s="17" t="n"/>
      <c r="D37" s="16" t="n"/>
      <c r="E37" s="18" t="n"/>
      <c r="F37" s="16" t="n"/>
      <c r="G37" s="16" t="n"/>
      <c r="H37" s="16" t="n"/>
      <c r="I37" s="19" t="n"/>
      <c r="J37" s="19" t="n"/>
      <c r="K37" s="16" t="n"/>
      <c r="L37" s="16" t="n"/>
      <c r="M37" s="20">
        <f>IF(C37&lt;&gt;"","⏳ À GÉNÉRER","")</f>
        <v/>
      </c>
    </row>
    <row r="38" ht="22" customHeight="1">
      <c r="A38" s="12">
        <f>IF(C38&lt;&gt;"",ROW()-4,"")</f>
        <v/>
      </c>
      <c r="B38" s="16" t="n"/>
      <c r="C38" s="17" t="n"/>
      <c r="D38" s="16" t="n"/>
      <c r="E38" s="18" t="n"/>
      <c r="F38" s="16" t="n"/>
      <c r="G38" s="16" t="n"/>
      <c r="H38" s="16" t="n"/>
      <c r="I38" s="19" t="n"/>
      <c r="J38" s="19" t="n"/>
      <c r="K38" s="16" t="n"/>
      <c r="L38" s="16" t="n"/>
      <c r="M38" s="20">
        <f>IF(C38&lt;&gt;"","⏳ À GÉNÉRER","")</f>
        <v/>
      </c>
    </row>
    <row r="39" ht="22" customHeight="1">
      <c r="A39" s="7">
        <f>IF(C39&lt;&gt;"",ROW()-4,"")</f>
        <v/>
      </c>
      <c r="B39" s="16" t="n"/>
      <c r="C39" s="17" t="n"/>
      <c r="D39" s="16" t="n"/>
      <c r="E39" s="18" t="n"/>
      <c r="F39" s="16" t="n"/>
      <c r="G39" s="16" t="n"/>
      <c r="H39" s="16" t="n"/>
      <c r="I39" s="19" t="n"/>
      <c r="J39" s="19" t="n"/>
      <c r="K39" s="16" t="n"/>
      <c r="L39" s="16" t="n"/>
      <c r="M39" s="20">
        <f>IF(C39&lt;&gt;"","⏳ À GÉNÉRER","")</f>
        <v/>
      </c>
    </row>
    <row r="40" ht="22" customHeight="1">
      <c r="A40" s="12">
        <f>IF(C40&lt;&gt;"",ROW()-4,"")</f>
        <v/>
      </c>
      <c r="B40" s="16" t="n"/>
      <c r="C40" s="17" t="n"/>
      <c r="D40" s="16" t="n"/>
      <c r="E40" s="18" t="n"/>
      <c r="F40" s="16" t="n"/>
      <c r="G40" s="16" t="n"/>
      <c r="H40" s="16" t="n"/>
      <c r="I40" s="19" t="n"/>
      <c r="J40" s="19" t="n"/>
      <c r="K40" s="16" t="n"/>
      <c r="L40" s="16" t="n"/>
      <c r="M40" s="20">
        <f>IF(C40&lt;&gt;"","⏳ À GÉNÉRER","")</f>
        <v/>
      </c>
    </row>
    <row r="41" ht="22" customHeight="1">
      <c r="A41" s="7">
        <f>IF(C41&lt;&gt;"",ROW()-4,"")</f>
        <v/>
      </c>
      <c r="B41" s="16" t="n"/>
      <c r="C41" s="17" t="n"/>
      <c r="D41" s="16" t="n"/>
      <c r="E41" s="18" t="n"/>
      <c r="F41" s="16" t="n"/>
      <c r="G41" s="16" t="n"/>
      <c r="H41" s="16" t="n"/>
      <c r="I41" s="19" t="n"/>
      <c r="J41" s="19" t="n"/>
      <c r="K41" s="16" t="n"/>
      <c r="L41" s="16" t="n"/>
      <c r="M41" s="20">
        <f>IF(C41&lt;&gt;"","⏳ À GÉNÉRER","")</f>
        <v/>
      </c>
    </row>
    <row r="42" ht="22" customHeight="1">
      <c r="A42" s="12">
        <f>IF(C42&lt;&gt;"",ROW()-4,"")</f>
        <v/>
      </c>
      <c r="B42" s="16" t="n"/>
      <c r="C42" s="17" t="n"/>
      <c r="D42" s="16" t="n"/>
      <c r="E42" s="18" t="n"/>
      <c r="F42" s="16" t="n"/>
      <c r="G42" s="16" t="n"/>
      <c r="H42" s="16" t="n"/>
      <c r="I42" s="19" t="n"/>
      <c r="J42" s="19" t="n"/>
      <c r="K42" s="16" t="n"/>
      <c r="L42" s="16" t="n"/>
      <c r="M42" s="20">
        <f>IF(C42&lt;&gt;"","⏳ À GÉNÉRER","")</f>
        <v/>
      </c>
    </row>
    <row r="43" ht="22" customHeight="1">
      <c r="A43" s="7">
        <f>IF(C43&lt;&gt;"",ROW()-4,"")</f>
        <v/>
      </c>
      <c r="B43" s="16" t="n"/>
      <c r="C43" s="17" t="n"/>
      <c r="D43" s="16" t="n"/>
      <c r="E43" s="18" t="n"/>
      <c r="F43" s="16" t="n"/>
      <c r="G43" s="16" t="n"/>
      <c r="H43" s="16" t="n"/>
      <c r="I43" s="19" t="n"/>
      <c r="J43" s="19" t="n"/>
      <c r="K43" s="16" t="n"/>
      <c r="L43" s="16" t="n"/>
      <c r="M43" s="20">
        <f>IF(C43&lt;&gt;"","⏳ À GÉNÉRER","")</f>
        <v/>
      </c>
    </row>
    <row r="44" ht="22" customHeight="1">
      <c r="A44" s="12">
        <f>IF(C44&lt;&gt;"",ROW()-4,"")</f>
        <v/>
      </c>
      <c r="B44" s="16" t="n"/>
      <c r="C44" s="17" t="n"/>
      <c r="D44" s="16" t="n"/>
      <c r="E44" s="18" t="n"/>
      <c r="F44" s="16" t="n"/>
      <c r="G44" s="16" t="n"/>
      <c r="H44" s="16" t="n"/>
      <c r="I44" s="19" t="n"/>
      <c r="J44" s="19" t="n"/>
      <c r="K44" s="16" t="n"/>
      <c r="L44" s="16" t="n"/>
      <c r="M44" s="20">
        <f>IF(C44&lt;&gt;"","⏳ À GÉNÉRER","")</f>
        <v/>
      </c>
    </row>
    <row r="45" ht="22" customHeight="1">
      <c r="A45" s="7">
        <f>IF(C45&lt;&gt;"",ROW()-4,"")</f>
        <v/>
      </c>
      <c r="B45" s="16" t="n"/>
      <c r="C45" s="17" t="n"/>
      <c r="D45" s="16" t="n"/>
      <c r="E45" s="18" t="n"/>
      <c r="F45" s="16" t="n"/>
      <c r="G45" s="16" t="n"/>
      <c r="H45" s="16" t="n"/>
      <c r="I45" s="19" t="n"/>
      <c r="J45" s="19" t="n"/>
      <c r="K45" s="16" t="n"/>
      <c r="L45" s="16" t="n"/>
      <c r="M45" s="20">
        <f>IF(C45&lt;&gt;"","⏳ À GÉNÉRER","")</f>
        <v/>
      </c>
    </row>
    <row r="46" ht="22" customHeight="1">
      <c r="A46" s="12">
        <f>IF(C46&lt;&gt;"",ROW()-4,"")</f>
        <v/>
      </c>
      <c r="B46" s="16" t="n"/>
      <c r="C46" s="17" t="n"/>
      <c r="D46" s="16" t="n"/>
      <c r="E46" s="18" t="n"/>
      <c r="F46" s="16" t="n"/>
      <c r="G46" s="16" t="n"/>
      <c r="H46" s="16" t="n"/>
      <c r="I46" s="19" t="n"/>
      <c r="J46" s="19" t="n"/>
      <c r="K46" s="16" t="n"/>
      <c r="L46" s="16" t="n"/>
      <c r="M46" s="20">
        <f>IF(C46&lt;&gt;"","⏳ À GÉNÉRER","")</f>
        <v/>
      </c>
    </row>
    <row r="47" ht="22" customHeight="1">
      <c r="A47" s="7">
        <f>IF(C47&lt;&gt;"",ROW()-4,"")</f>
        <v/>
      </c>
      <c r="B47" s="16" t="n"/>
      <c r="C47" s="17" t="n"/>
      <c r="D47" s="16" t="n"/>
      <c r="E47" s="18" t="n"/>
      <c r="F47" s="16" t="n"/>
      <c r="G47" s="16" t="n"/>
      <c r="H47" s="16" t="n"/>
      <c r="I47" s="19" t="n"/>
      <c r="J47" s="19" t="n"/>
      <c r="K47" s="16" t="n"/>
      <c r="L47" s="16" t="n"/>
      <c r="M47" s="20">
        <f>IF(C47&lt;&gt;"","⏳ À GÉNÉRER","")</f>
        <v/>
      </c>
    </row>
    <row r="48" ht="22" customHeight="1">
      <c r="A48" s="12">
        <f>IF(C48&lt;&gt;"",ROW()-4,"")</f>
        <v/>
      </c>
      <c r="B48" s="16" t="n"/>
      <c r="C48" s="17" t="n"/>
      <c r="D48" s="16" t="n"/>
      <c r="E48" s="18" t="n"/>
      <c r="F48" s="16" t="n"/>
      <c r="G48" s="16" t="n"/>
      <c r="H48" s="16" t="n"/>
      <c r="I48" s="19" t="n"/>
      <c r="J48" s="19" t="n"/>
      <c r="K48" s="16" t="n"/>
      <c r="L48" s="16" t="n"/>
      <c r="M48" s="20">
        <f>IF(C48&lt;&gt;"","⏳ À GÉNÉRER","")</f>
        <v/>
      </c>
    </row>
    <row r="49" ht="22" customHeight="1">
      <c r="A49" s="7">
        <f>IF(C49&lt;&gt;"",ROW()-4,"")</f>
        <v/>
      </c>
      <c r="B49" s="16" t="n"/>
      <c r="C49" s="17" t="n"/>
      <c r="D49" s="16" t="n"/>
      <c r="E49" s="18" t="n"/>
      <c r="F49" s="16" t="n"/>
      <c r="G49" s="16" t="n"/>
      <c r="H49" s="16" t="n"/>
      <c r="I49" s="19" t="n"/>
      <c r="J49" s="19" t="n"/>
      <c r="K49" s="16" t="n"/>
      <c r="L49" s="16" t="n"/>
      <c r="M49" s="20">
        <f>IF(C49&lt;&gt;"","⏳ À GÉNÉRER","")</f>
        <v/>
      </c>
    </row>
    <row r="50" ht="22" customHeight="1">
      <c r="A50" s="12">
        <f>IF(C50&lt;&gt;"",ROW()-4,"")</f>
        <v/>
      </c>
      <c r="B50" s="16" t="n"/>
      <c r="C50" s="17" t="n"/>
      <c r="D50" s="16" t="n"/>
      <c r="E50" s="18" t="n"/>
      <c r="F50" s="16" t="n"/>
      <c r="G50" s="16" t="n"/>
      <c r="H50" s="16" t="n"/>
      <c r="I50" s="19" t="n"/>
      <c r="J50" s="19" t="n"/>
      <c r="K50" s="16" t="n"/>
      <c r="L50" s="16" t="n"/>
      <c r="M50" s="20">
        <f>IF(C50&lt;&gt;"","⏳ À GÉNÉRER","")</f>
        <v/>
      </c>
    </row>
    <row r="51" ht="22" customHeight="1">
      <c r="A51" s="7">
        <f>IF(C51&lt;&gt;"",ROW()-4,"")</f>
        <v/>
      </c>
      <c r="B51" s="16" t="n"/>
      <c r="C51" s="17" t="n"/>
      <c r="D51" s="16" t="n"/>
      <c r="E51" s="18" t="n"/>
      <c r="F51" s="16" t="n"/>
      <c r="G51" s="16" t="n"/>
      <c r="H51" s="16" t="n"/>
      <c r="I51" s="19" t="n"/>
      <c r="J51" s="19" t="n"/>
      <c r="K51" s="16" t="n"/>
      <c r="L51" s="16" t="n"/>
      <c r="M51" s="20">
        <f>IF(C51&lt;&gt;"","⏳ À GÉNÉRER","")</f>
        <v/>
      </c>
    </row>
    <row r="52" ht="22" customHeight="1">
      <c r="A52" s="12">
        <f>IF(C52&lt;&gt;"",ROW()-4,"")</f>
        <v/>
      </c>
      <c r="B52" s="16" t="n"/>
      <c r="C52" s="17" t="n"/>
      <c r="D52" s="16" t="n"/>
      <c r="E52" s="18" t="n"/>
      <c r="F52" s="16" t="n"/>
      <c r="G52" s="16" t="n"/>
      <c r="H52" s="16" t="n"/>
      <c r="I52" s="19" t="n"/>
      <c r="J52" s="19" t="n"/>
      <c r="K52" s="16" t="n"/>
      <c r="L52" s="16" t="n"/>
      <c r="M52" s="20">
        <f>IF(C52&lt;&gt;"","⏳ À GÉNÉRER","")</f>
        <v/>
      </c>
    </row>
    <row r="53" ht="22" customHeight="1">
      <c r="A53" s="7">
        <f>IF(C53&lt;&gt;"",ROW()-4,"")</f>
        <v/>
      </c>
      <c r="B53" s="16" t="n"/>
      <c r="C53" s="17" t="n"/>
      <c r="D53" s="16" t="n"/>
      <c r="E53" s="18" t="n"/>
      <c r="F53" s="16" t="n"/>
      <c r="G53" s="16" t="n"/>
      <c r="H53" s="16" t="n"/>
      <c r="I53" s="19" t="n"/>
      <c r="J53" s="19" t="n"/>
      <c r="K53" s="16" t="n"/>
      <c r="L53" s="16" t="n"/>
      <c r="M53" s="20">
        <f>IF(C53&lt;&gt;"","⏳ À GÉNÉRER","")</f>
        <v/>
      </c>
    </row>
    <row r="54" ht="22" customHeight="1">
      <c r="A54" s="12">
        <f>IF(C54&lt;&gt;"",ROW()-4,"")</f>
        <v/>
      </c>
      <c r="B54" s="16" t="n"/>
      <c r="C54" s="17" t="n"/>
      <c r="D54" s="16" t="n"/>
      <c r="E54" s="18" t="n"/>
      <c r="F54" s="16" t="n"/>
      <c r="G54" s="16" t="n"/>
      <c r="H54" s="16" t="n"/>
      <c r="I54" s="19" t="n"/>
      <c r="J54" s="19" t="n"/>
      <c r="K54" s="16" t="n"/>
      <c r="L54" s="16" t="n"/>
      <c r="M54" s="20">
        <f>IF(C54&lt;&gt;"","⏳ À GÉNÉRER","")</f>
        <v/>
      </c>
    </row>
    <row r="55" ht="22" customHeight="1">
      <c r="A55" s="7">
        <f>IF(C55&lt;&gt;"",ROW()-4,"")</f>
        <v/>
      </c>
      <c r="B55" s="16" t="n"/>
      <c r="C55" s="17" t="n"/>
      <c r="D55" s="16" t="n"/>
      <c r="E55" s="18" t="n"/>
      <c r="F55" s="16" t="n"/>
      <c r="G55" s="16" t="n"/>
      <c r="H55" s="16" t="n"/>
      <c r="I55" s="19" t="n"/>
      <c r="J55" s="19" t="n"/>
      <c r="K55" s="16" t="n"/>
      <c r="L55" s="16" t="n"/>
      <c r="M55" s="20">
        <f>IF(C55&lt;&gt;"","⏳ À GÉNÉRER","")</f>
        <v/>
      </c>
    </row>
    <row r="56" ht="22" customHeight="1">
      <c r="A56" s="12">
        <f>IF(C56&lt;&gt;"",ROW()-4,"")</f>
        <v/>
      </c>
      <c r="B56" s="16" t="n"/>
      <c r="C56" s="17" t="n"/>
      <c r="D56" s="16" t="n"/>
      <c r="E56" s="18" t="n"/>
      <c r="F56" s="16" t="n"/>
      <c r="G56" s="16" t="n"/>
      <c r="H56" s="16" t="n"/>
      <c r="I56" s="19" t="n"/>
      <c r="J56" s="19" t="n"/>
      <c r="K56" s="16" t="n"/>
      <c r="L56" s="16" t="n"/>
      <c r="M56" s="20">
        <f>IF(C56&lt;&gt;"","⏳ À GÉNÉRER","")</f>
        <v/>
      </c>
    </row>
    <row r="57" ht="22" customHeight="1">
      <c r="A57" s="7">
        <f>IF(C57&lt;&gt;"",ROW()-4,"")</f>
        <v/>
      </c>
      <c r="B57" s="16" t="n"/>
      <c r="C57" s="17" t="n"/>
      <c r="D57" s="16" t="n"/>
      <c r="E57" s="18" t="n"/>
      <c r="F57" s="16" t="n"/>
      <c r="G57" s="16" t="n"/>
      <c r="H57" s="16" t="n"/>
      <c r="I57" s="19" t="n"/>
      <c r="J57" s="19" t="n"/>
      <c r="K57" s="16" t="n"/>
      <c r="L57" s="16" t="n"/>
      <c r="M57" s="20">
        <f>IF(C57&lt;&gt;"","⏳ À GÉNÉRER","")</f>
        <v/>
      </c>
    </row>
    <row r="58" ht="22" customHeight="1">
      <c r="A58" s="12">
        <f>IF(C58&lt;&gt;"",ROW()-4,"")</f>
        <v/>
      </c>
      <c r="B58" s="16" t="n"/>
      <c r="C58" s="17" t="n"/>
      <c r="D58" s="16" t="n"/>
      <c r="E58" s="18" t="n"/>
      <c r="F58" s="16" t="n"/>
      <c r="G58" s="16" t="n"/>
      <c r="H58" s="16" t="n"/>
      <c r="I58" s="19" t="n"/>
      <c r="J58" s="19" t="n"/>
      <c r="K58" s="16" t="n"/>
      <c r="L58" s="16" t="n"/>
      <c r="M58" s="20">
        <f>IF(C58&lt;&gt;"","⏳ À GÉNÉRER","")</f>
        <v/>
      </c>
    </row>
    <row r="59" ht="22" customHeight="1">
      <c r="A59" s="7">
        <f>IF(C59&lt;&gt;"",ROW()-4,"")</f>
        <v/>
      </c>
      <c r="B59" s="16" t="n"/>
      <c r="C59" s="17" t="n"/>
      <c r="D59" s="16" t="n"/>
      <c r="E59" s="18" t="n"/>
      <c r="F59" s="16" t="n"/>
      <c r="G59" s="16" t="n"/>
      <c r="H59" s="16" t="n"/>
      <c r="I59" s="19" t="n"/>
      <c r="J59" s="19" t="n"/>
      <c r="K59" s="16" t="n"/>
      <c r="L59" s="16" t="n"/>
      <c r="M59" s="20">
        <f>IF(C59&lt;&gt;"","⏳ À GÉNÉRER","")</f>
        <v/>
      </c>
    </row>
    <row r="60" ht="22" customHeight="1">
      <c r="A60" s="12">
        <f>IF(C60&lt;&gt;"",ROW()-4,"")</f>
        <v/>
      </c>
      <c r="B60" s="16" t="n"/>
      <c r="C60" s="17" t="n"/>
      <c r="D60" s="16" t="n"/>
      <c r="E60" s="18" t="n"/>
      <c r="F60" s="16" t="n"/>
      <c r="G60" s="16" t="n"/>
      <c r="H60" s="16" t="n"/>
      <c r="I60" s="19" t="n"/>
      <c r="J60" s="19" t="n"/>
      <c r="K60" s="16" t="n"/>
      <c r="L60" s="16" t="n"/>
      <c r="M60" s="20">
        <f>IF(C60&lt;&gt;"","⏳ À GÉNÉRER","")</f>
        <v/>
      </c>
    </row>
    <row r="61" ht="22" customHeight="1">
      <c r="A61" s="7">
        <f>IF(C61&lt;&gt;"",ROW()-4,"")</f>
        <v/>
      </c>
      <c r="B61" s="16" t="n"/>
      <c r="C61" s="17" t="n"/>
      <c r="D61" s="16" t="n"/>
      <c r="E61" s="18" t="n"/>
      <c r="F61" s="16" t="n"/>
      <c r="G61" s="16" t="n"/>
      <c r="H61" s="16" t="n"/>
      <c r="I61" s="19" t="n"/>
      <c r="J61" s="19" t="n"/>
      <c r="K61" s="16" t="n"/>
      <c r="L61" s="16" t="n"/>
      <c r="M61" s="20">
        <f>IF(C61&lt;&gt;"","⏳ À GÉNÉRER","")</f>
        <v/>
      </c>
    </row>
    <row r="62" ht="22" customHeight="1">
      <c r="A62" s="12">
        <f>IF(C62&lt;&gt;"",ROW()-4,"")</f>
        <v/>
      </c>
      <c r="B62" s="16" t="n"/>
      <c r="C62" s="17" t="n"/>
      <c r="D62" s="16" t="n"/>
      <c r="E62" s="18" t="n"/>
      <c r="F62" s="16" t="n"/>
      <c r="G62" s="16" t="n"/>
      <c r="H62" s="16" t="n"/>
      <c r="I62" s="19" t="n"/>
      <c r="J62" s="19" t="n"/>
      <c r="K62" s="16" t="n"/>
      <c r="L62" s="16" t="n"/>
      <c r="M62" s="20">
        <f>IF(C62&lt;&gt;"","⏳ À GÉNÉRER","")</f>
        <v/>
      </c>
    </row>
    <row r="63" ht="22" customHeight="1">
      <c r="A63" s="7">
        <f>IF(C63&lt;&gt;"",ROW()-4,"")</f>
        <v/>
      </c>
      <c r="B63" s="16" t="n"/>
      <c r="C63" s="17" t="n"/>
      <c r="D63" s="16" t="n"/>
      <c r="E63" s="18" t="n"/>
      <c r="F63" s="16" t="n"/>
      <c r="G63" s="16" t="n"/>
      <c r="H63" s="16" t="n"/>
      <c r="I63" s="19" t="n"/>
      <c r="J63" s="19" t="n"/>
      <c r="K63" s="16" t="n"/>
      <c r="L63" s="16" t="n"/>
      <c r="M63" s="20">
        <f>IF(C63&lt;&gt;"","⏳ À GÉNÉRER","")</f>
        <v/>
      </c>
    </row>
    <row r="64" ht="22" customHeight="1">
      <c r="A64" s="12">
        <f>IF(C64&lt;&gt;"",ROW()-4,"")</f>
        <v/>
      </c>
      <c r="B64" s="16" t="n"/>
      <c r="C64" s="17" t="n"/>
      <c r="D64" s="16" t="n"/>
      <c r="E64" s="18" t="n"/>
      <c r="F64" s="16" t="n"/>
      <c r="G64" s="16" t="n"/>
      <c r="H64" s="16" t="n"/>
      <c r="I64" s="19" t="n"/>
      <c r="J64" s="19" t="n"/>
      <c r="K64" s="16" t="n"/>
      <c r="L64" s="16" t="n"/>
      <c r="M64" s="20">
        <f>IF(C64&lt;&gt;"","⏳ À GÉNÉRER","")</f>
        <v/>
      </c>
    </row>
    <row r="65" ht="22" customHeight="1">
      <c r="A65" s="7">
        <f>IF(C65&lt;&gt;"",ROW()-4,"")</f>
        <v/>
      </c>
      <c r="B65" s="16" t="n"/>
      <c r="C65" s="17" t="n"/>
      <c r="D65" s="16" t="n"/>
      <c r="E65" s="18" t="n"/>
      <c r="F65" s="16" t="n"/>
      <c r="G65" s="16" t="n"/>
      <c r="H65" s="16" t="n"/>
      <c r="I65" s="19" t="n"/>
      <c r="J65" s="19" t="n"/>
      <c r="K65" s="16" t="n"/>
      <c r="L65" s="16" t="n"/>
      <c r="M65" s="20">
        <f>IF(C65&lt;&gt;"","⏳ À GÉNÉRER","")</f>
        <v/>
      </c>
    </row>
    <row r="66" ht="22" customHeight="1">
      <c r="A66" s="12">
        <f>IF(C66&lt;&gt;"",ROW()-4,"")</f>
        <v/>
      </c>
      <c r="B66" s="16" t="n"/>
      <c r="C66" s="17" t="n"/>
      <c r="D66" s="16" t="n"/>
      <c r="E66" s="18" t="n"/>
      <c r="F66" s="16" t="n"/>
      <c r="G66" s="16" t="n"/>
      <c r="H66" s="16" t="n"/>
      <c r="I66" s="19" t="n"/>
      <c r="J66" s="19" t="n"/>
      <c r="K66" s="16" t="n"/>
      <c r="L66" s="16" t="n"/>
      <c r="M66" s="20">
        <f>IF(C66&lt;&gt;"","⏳ À GÉNÉRER","")</f>
        <v/>
      </c>
    </row>
    <row r="67" ht="22" customHeight="1">
      <c r="A67" s="7">
        <f>IF(C67&lt;&gt;"",ROW()-4,"")</f>
        <v/>
      </c>
      <c r="B67" s="16" t="n"/>
      <c r="C67" s="17" t="n"/>
      <c r="D67" s="16" t="n"/>
      <c r="E67" s="18" t="n"/>
      <c r="F67" s="16" t="n"/>
      <c r="G67" s="16" t="n"/>
      <c r="H67" s="16" t="n"/>
      <c r="I67" s="19" t="n"/>
      <c r="J67" s="19" t="n"/>
      <c r="K67" s="16" t="n"/>
      <c r="L67" s="16" t="n"/>
      <c r="M67" s="20">
        <f>IF(C67&lt;&gt;"","⏳ À GÉNÉRER","")</f>
        <v/>
      </c>
    </row>
    <row r="68" ht="22" customHeight="1">
      <c r="A68" s="12">
        <f>IF(C68&lt;&gt;"",ROW()-4,"")</f>
        <v/>
      </c>
      <c r="B68" s="16" t="n"/>
      <c r="C68" s="17" t="n"/>
      <c r="D68" s="16" t="n"/>
      <c r="E68" s="18" t="n"/>
      <c r="F68" s="16" t="n"/>
      <c r="G68" s="16" t="n"/>
      <c r="H68" s="16" t="n"/>
      <c r="I68" s="19" t="n"/>
      <c r="J68" s="19" t="n"/>
      <c r="K68" s="16" t="n"/>
      <c r="L68" s="16" t="n"/>
      <c r="M68" s="20">
        <f>IF(C68&lt;&gt;"","⏳ À GÉNÉRER","")</f>
        <v/>
      </c>
    </row>
    <row r="69" ht="22" customHeight="1">
      <c r="A69" s="7">
        <f>IF(C69&lt;&gt;"",ROW()-4,"")</f>
        <v/>
      </c>
      <c r="B69" s="16" t="n"/>
      <c r="C69" s="17" t="n"/>
      <c r="D69" s="16" t="n"/>
      <c r="E69" s="18" t="n"/>
      <c r="F69" s="16" t="n"/>
      <c r="G69" s="16" t="n"/>
      <c r="H69" s="16" t="n"/>
      <c r="I69" s="19" t="n"/>
      <c r="J69" s="19" t="n"/>
      <c r="K69" s="16" t="n"/>
      <c r="L69" s="16" t="n"/>
      <c r="M69" s="20">
        <f>IF(C69&lt;&gt;"","⏳ À GÉNÉRER","")</f>
        <v/>
      </c>
    </row>
    <row r="70" ht="22" customHeight="1">
      <c r="A70" s="12">
        <f>IF(C70&lt;&gt;"",ROW()-4,"")</f>
        <v/>
      </c>
      <c r="B70" s="16" t="n"/>
      <c r="C70" s="17" t="n"/>
      <c r="D70" s="16" t="n"/>
      <c r="E70" s="18" t="n"/>
      <c r="F70" s="16" t="n"/>
      <c r="G70" s="16" t="n"/>
      <c r="H70" s="16" t="n"/>
      <c r="I70" s="19" t="n"/>
      <c r="J70" s="19" t="n"/>
      <c r="K70" s="16" t="n"/>
      <c r="L70" s="16" t="n"/>
      <c r="M70" s="20">
        <f>IF(C70&lt;&gt;"","⏳ À GÉNÉRER","")</f>
        <v/>
      </c>
    </row>
    <row r="71" ht="22" customHeight="1">
      <c r="A71" s="7">
        <f>IF(C71&lt;&gt;"",ROW()-4,"")</f>
        <v/>
      </c>
      <c r="B71" s="16" t="n"/>
      <c r="C71" s="17" t="n"/>
      <c r="D71" s="16" t="n"/>
      <c r="E71" s="18" t="n"/>
      <c r="F71" s="16" t="n"/>
      <c r="G71" s="16" t="n"/>
      <c r="H71" s="16" t="n"/>
      <c r="I71" s="19" t="n"/>
      <c r="J71" s="19" t="n"/>
      <c r="K71" s="16" t="n"/>
      <c r="L71" s="16" t="n"/>
      <c r="M71" s="20">
        <f>IF(C71&lt;&gt;"","⏳ À GÉNÉRER","")</f>
        <v/>
      </c>
    </row>
    <row r="72" ht="22" customHeight="1">
      <c r="A72" s="12">
        <f>IF(C72&lt;&gt;"",ROW()-4,"")</f>
        <v/>
      </c>
      <c r="B72" s="16" t="n"/>
      <c r="C72" s="17" t="n"/>
      <c r="D72" s="16" t="n"/>
      <c r="E72" s="18" t="n"/>
      <c r="F72" s="16" t="n"/>
      <c r="G72" s="16" t="n"/>
      <c r="H72" s="16" t="n"/>
      <c r="I72" s="19" t="n"/>
      <c r="J72" s="19" t="n"/>
      <c r="K72" s="16" t="n"/>
      <c r="L72" s="16" t="n"/>
      <c r="M72" s="20">
        <f>IF(C72&lt;&gt;"","⏳ À GÉNÉRER","")</f>
        <v/>
      </c>
    </row>
    <row r="73" ht="22" customHeight="1">
      <c r="A73" s="7">
        <f>IF(C73&lt;&gt;"",ROW()-4,"")</f>
        <v/>
      </c>
      <c r="B73" s="16" t="n"/>
      <c r="C73" s="17" t="n"/>
      <c r="D73" s="16" t="n"/>
      <c r="E73" s="18" t="n"/>
      <c r="F73" s="16" t="n"/>
      <c r="G73" s="16" t="n"/>
      <c r="H73" s="16" t="n"/>
      <c r="I73" s="19" t="n"/>
      <c r="J73" s="19" t="n"/>
      <c r="K73" s="16" t="n"/>
      <c r="L73" s="16" t="n"/>
      <c r="M73" s="20">
        <f>IF(C73&lt;&gt;"","⏳ À GÉNÉRER","")</f>
        <v/>
      </c>
    </row>
    <row r="74" ht="22" customHeight="1">
      <c r="A74" s="12">
        <f>IF(C74&lt;&gt;"",ROW()-4,"")</f>
        <v/>
      </c>
      <c r="B74" s="16" t="n"/>
      <c r="C74" s="17" t="n"/>
      <c r="D74" s="16" t="n"/>
      <c r="E74" s="18" t="n"/>
      <c r="F74" s="16" t="n"/>
      <c r="G74" s="16" t="n"/>
      <c r="H74" s="16" t="n"/>
      <c r="I74" s="19" t="n"/>
      <c r="J74" s="19" t="n"/>
      <c r="K74" s="16" t="n"/>
      <c r="L74" s="16" t="n"/>
      <c r="M74" s="20">
        <f>IF(C74&lt;&gt;"","⏳ À GÉNÉRER","")</f>
        <v/>
      </c>
    </row>
    <row r="75" ht="22" customHeight="1">
      <c r="A75" s="7">
        <f>IF(C75&lt;&gt;"",ROW()-4,"")</f>
        <v/>
      </c>
      <c r="B75" s="16" t="n"/>
      <c r="C75" s="17" t="n"/>
      <c r="D75" s="16" t="n"/>
      <c r="E75" s="18" t="n"/>
      <c r="F75" s="16" t="n"/>
      <c r="G75" s="16" t="n"/>
      <c r="H75" s="16" t="n"/>
      <c r="I75" s="19" t="n"/>
      <c r="J75" s="19" t="n"/>
      <c r="K75" s="16" t="n"/>
      <c r="L75" s="16" t="n"/>
      <c r="M75" s="20">
        <f>IF(C75&lt;&gt;"","⏳ À GÉNÉRER","")</f>
        <v/>
      </c>
    </row>
    <row r="76" ht="22" customHeight="1">
      <c r="A76" s="12">
        <f>IF(C76&lt;&gt;"",ROW()-4,"")</f>
        <v/>
      </c>
      <c r="B76" s="16" t="n"/>
      <c r="C76" s="17" t="n"/>
      <c r="D76" s="16" t="n"/>
      <c r="E76" s="18" t="n"/>
      <c r="F76" s="16" t="n"/>
      <c r="G76" s="16" t="n"/>
      <c r="H76" s="16" t="n"/>
      <c r="I76" s="19" t="n"/>
      <c r="J76" s="19" t="n"/>
      <c r="K76" s="16" t="n"/>
      <c r="L76" s="16" t="n"/>
      <c r="M76" s="20">
        <f>IF(C76&lt;&gt;"","⏳ À GÉNÉRER","")</f>
        <v/>
      </c>
    </row>
    <row r="77" ht="22" customHeight="1">
      <c r="A77" s="7">
        <f>IF(C77&lt;&gt;"",ROW()-4,"")</f>
        <v/>
      </c>
      <c r="B77" s="16" t="n"/>
      <c r="C77" s="17" t="n"/>
      <c r="D77" s="16" t="n"/>
      <c r="E77" s="18" t="n"/>
      <c r="F77" s="16" t="n"/>
      <c r="G77" s="16" t="n"/>
      <c r="H77" s="16" t="n"/>
      <c r="I77" s="19" t="n"/>
      <c r="J77" s="19" t="n"/>
      <c r="K77" s="16" t="n"/>
      <c r="L77" s="16" t="n"/>
      <c r="M77" s="20">
        <f>IF(C77&lt;&gt;"","⏳ À GÉNÉRER","")</f>
        <v/>
      </c>
    </row>
    <row r="78" ht="22" customHeight="1">
      <c r="A78" s="12">
        <f>IF(C78&lt;&gt;"",ROW()-4,"")</f>
        <v/>
      </c>
      <c r="B78" s="16" t="n"/>
      <c r="C78" s="17" t="n"/>
      <c r="D78" s="16" t="n"/>
      <c r="E78" s="18" t="n"/>
      <c r="F78" s="16" t="n"/>
      <c r="G78" s="16" t="n"/>
      <c r="H78" s="16" t="n"/>
      <c r="I78" s="19" t="n"/>
      <c r="J78" s="19" t="n"/>
      <c r="K78" s="16" t="n"/>
      <c r="L78" s="16" t="n"/>
      <c r="M78" s="20">
        <f>IF(C78&lt;&gt;"","⏳ À GÉNÉRER","")</f>
        <v/>
      </c>
    </row>
    <row r="79" ht="22" customHeight="1">
      <c r="A79" s="7">
        <f>IF(C79&lt;&gt;"",ROW()-4,"")</f>
        <v/>
      </c>
      <c r="B79" s="16" t="n"/>
      <c r="C79" s="17" t="n"/>
      <c r="D79" s="16" t="n"/>
      <c r="E79" s="18" t="n"/>
      <c r="F79" s="16" t="n"/>
      <c r="G79" s="16" t="n"/>
      <c r="H79" s="16" t="n"/>
      <c r="I79" s="19" t="n"/>
      <c r="J79" s="19" t="n"/>
      <c r="K79" s="16" t="n"/>
      <c r="L79" s="16" t="n"/>
      <c r="M79" s="20">
        <f>IF(C79&lt;&gt;"","⏳ À GÉNÉRER","")</f>
        <v/>
      </c>
    </row>
    <row r="80" ht="22" customHeight="1">
      <c r="A80" s="12">
        <f>IF(C80&lt;&gt;"",ROW()-4,"")</f>
        <v/>
      </c>
      <c r="B80" s="16" t="n"/>
      <c r="C80" s="17" t="n"/>
      <c r="D80" s="16" t="n"/>
      <c r="E80" s="18" t="n"/>
      <c r="F80" s="16" t="n"/>
      <c r="G80" s="16" t="n"/>
      <c r="H80" s="16" t="n"/>
      <c r="I80" s="19" t="n"/>
      <c r="J80" s="19" t="n"/>
      <c r="K80" s="16" t="n"/>
      <c r="L80" s="16" t="n"/>
      <c r="M80" s="20">
        <f>IF(C80&lt;&gt;"","⏳ À GÉNÉRER","")</f>
        <v/>
      </c>
    </row>
    <row r="81" ht="22" customHeight="1">
      <c r="A81" s="7">
        <f>IF(C81&lt;&gt;"",ROW()-4,"")</f>
        <v/>
      </c>
      <c r="B81" s="16" t="n"/>
      <c r="C81" s="17" t="n"/>
      <c r="D81" s="16" t="n"/>
      <c r="E81" s="18" t="n"/>
      <c r="F81" s="16" t="n"/>
      <c r="G81" s="16" t="n"/>
      <c r="H81" s="16" t="n"/>
      <c r="I81" s="19" t="n"/>
      <c r="J81" s="19" t="n"/>
      <c r="K81" s="16" t="n"/>
      <c r="L81" s="16" t="n"/>
      <c r="M81" s="20">
        <f>IF(C81&lt;&gt;"","⏳ À GÉNÉRER","")</f>
        <v/>
      </c>
    </row>
    <row r="82" ht="22" customHeight="1">
      <c r="A82" s="12">
        <f>IF(C82&lt;&gt;"",ROW()-4,"")</f>
        <v/>
      </c>
      <c r="B82" s="16" t="n"/>
      <c r="C82" s="17" t="n"/>
      <c r="D82" s="16" t="n"/>
      <c r="E82" s="18" t="n"/>
      <c r="F82" s="16" t="n"/>
      <c r="G82" s="16" t="n"/>
      <c r="H82" s="16" t="n"/>
      <c r="I82" s="19" t="n"/>
      <c r="J82" s="19" t="n"/>
      <c r="K82" s="16" t="n"/>
      <c r="L82" s="16" t="n"/>
      <c r="M82" s="20">
        <f>IF(C82&lt;&gt;"","⏳ À GÉNÉRER","")</f>
        <v/>
      </c>
    </row>
    <row r="83" ht="22" customHeight="1">
      <c r="A83" s="7">
        <f>IF(C83&lt;&gt;"",ROW()-4,"")</f>
        <v/>
      </c>
      <c r="B83" s="16" t="n"/>
      <c r="C83" s="17" t="n"/>
      <c r="D83" s="16" t="n"/>
      <c r="E83" s="18" t="n"/>
      <c r="F83" s="16" t="n"/>
      <c r="G83" s="16" t="n"/>
      <c r="H83" s="16" t="n"/>
      <c r="I83" s="19" t="n"/>
      <c r="J83" s="19" t="n"/>
      <c r="K83" s="16" t="n"/>
      <c r="L83" s="16" t="n"/>
      <c r="M83" s="20">
        <f>IF(C83&lt;&gt;"","⏳ À GÉNÉRER","")</f>
        <v/>
      </c>
    </row>
    <row r="84" ht="22" customHeight="1">
      <c r="A84" s="12">
        <f>IF(C84&lt;&gt;"",ROW()-4,"")</f>
        <v/>
      </c>
      <c r="B84" s="16" t="n"/>
      <c r="C84" s="17" t="n"/>
      <c r="D84" s="16" t="n"/>
      <c r="E84" s="18" t="n"/>
      <c r="F84" s="16" t="n"/>
      <c r="G84" s="16" t="n"/>
      <c r="H84" s="16" t="n"/>
      <c r="I84" s="19" t="n"/>
      <c r="J84" s="19" t="n"/>
      <c r="K84" s="16" t="n"/>
      <c r="L84" s="16" t="n"/>
      <c r="M84" s="20">
        <f>IF(C84&lt;&gt;"","⏳ À GÉNÉRER","")</f>
        <v/>
      </c>
    </row>
    <row r="85" ht="22" customHeight="1">
      <c r="A85" s="7">
        <f>IF(C85&lt;&gt;"",ROW()-4,"")</f>
        <v/>
      </c>
      <c r="B85" s="16" t="n"/>
      <c r="C85" s="17" t="n"/>
      <c r="D85" s="16" t="n"/>
      <c r="E85" s="18" t="n"/>
      <c r="F85" s="16" t="n"/>
      <c r="G85" s="16" t="n"/>
      <c r="H85" s="16" t="n"/>
      <c r="I85" s="19" t="n"/>
      <c r="J85" s="19" t="n"/>
      <c r="K85" s="16" t="n"/>
      <c r="L85" s="16" t="n"/>
      <c r="M85" s="20">
        <f>IF(C85&lt;&gt;"","⏳ À GÉNÉRER","")</f>
        <v/>
      </c>
    </row>
    <row r="86" ht="22" customHeight="1">
      <c r="A86" s="12">
        <f>IF(C86&lt;&gt;"",ROW()-4,"")</f>
        <v/>
      </c>
      <c r="B86" s="16" t="n"/>
      <c r="C86" s="17" t="n"/>
      <c r="D86" s="16" t="n"/>
      <c r="E86" s="18" t="n"/>
      <c r="F86" s="16" t="n"/>
      <c r="G86" s="16" t="n"/>
      <c r="H86" s="16" t="n"/>
      <c r="I86" s="19" t="n"/>
      <c r="J86" s="19" t="n"/>
      <c r="K86" s="16" t="n"/>
      <c r="L86" s="16" t="n"/>
      <c r="M86" s="20">
        <f>IF(C86&lt;&gt;"","⏳ À GÉNÉRER","")</f>
        <v/>
      </c>
    </row>
    <row r="87" ht="22" customHeight="1">
      <c r="A87" s="7">
        <f>IF(C87&lt;&gt;"",ROW()-4,"")</f>
        <v/>
      </c>
      <c r="B87" s="16" t="n"/>
      <c r="C87" s="17" t="n"/>
      <c r="D87" s="16" t="n"/>
      <c r="E87" s="18" t="n"/>
      <c r="F87" s="16" t="n"/>
      <c r="G87" s="16" t="n"/>
      <c r="H87" s="16" t="n"/>
      <c r="I87" s="19" t="n"/>
      <c r="J87" s="19" t="n"/>
      <c r="K87" s="16" t="n"/>
      <c r="L87" s="16" t="n"/>
      <c r="M87" s="20">
        <f>IF(C87&lt;&gt;"","⏳ À GÉNÉRER","")</f>
        <v/>
      </c>
    </row>
    <row r="88" ht="22" customHeight="1">
      <c r="A88" s="12">
        <f>IF(C88&lt;&gt;"",ROW()-4,"")</f>
        <v/>
      </c>
      <c r="B88" s="16" t="n"/>
      <c r="C88" s="17" t="n"/>
      <c r="D88" s="16" t="n"/>
      <c r="E88" s="18" t="n"/>
      <c r="F88" s="16" t="n"/>
      <c r="G88" s="16" t="n"/>
      <c r="H88" s="16" t="n"/>
      <c r="I88" s="19" t="n"/>
      <c r="J88" s="19" t="n"/>
      <c r="K88" s="16" t="n"/>
      <c r="L88" s="16" t="n"/>
      <c r="M88" s="20">
        <f>IF(C88&lt;&gt;"","⏳ À GÉNÉRER","")</f>
        <v/>
      </c>
    </row>
    <row r="89" ht="22" customHeight="1">
      <c r="A89" s="7">
        <f>IF(C89&lt;&gt;"",ROW()-4,"")</f>
        <v/>
      </c>
      <c r="B89" s="16" t="n"/>
      <c r="C89" s="17" t="n"/>
      <c r="D89" s="16" t="n"/>
      <c r="E89" s="18" t="n"/>
      <c r="F89" s="16" t="n"/>
      <c r="G89" s="16" t="n"/>
      <c r="H89" s="16" t="n"/>
      <c r="I89" s="19" t="n"/>
      <c r="J89" s="19" t="n"/>
      <c r="K89" s="16" t="n"/>
      <c r="L89" s="16" t="n"/>
      <c r="M89" s="20">
        <f>IF(C89&lt;&gt;"","⏳ À GÉNÉRER","")</f>
        <v/>
      </c>
    </row>
    <row r="90" ht="22" customHeight="1">
      <c r="A90" s="12">
        <f>IF(C90&lt;&gt;"",ROW()-4,"")</f>
        <v/>
      </c>
      <c r="B90" s="16" t="n"/>
      <c r="C90" s="17" t="n"/>
      <c r="D90" s="16" t="n"/>
      <c r="E90" s="18" t="n"/>
      <c r="F90" s="16" t="n"/>
      <c r="G90" s="16" t="n"/>
      <c r="H90" s="16" t="n"/>
      <c r="I90" s="19" t="n"/>
      <c r="J90" s="19" t="n"/>
      <c r="K90" s="16" t="n"/>
      <c r="L90" s="16" t="n"/>
      <c r="M90" s="20">
        <f>IF(C90&lt;&gt;"","⏳ À GÉNÉRER","")</f>
        <v/>
      </c>
    </row>
    <row r="91" ht="22" customHeight="1">
      <c r="A91" s="7">
        <f>IF(C91&lt;&gt;"",ROW()-4,"")</f>
        <v/>
      </c>
      <c r="B91" s="16" t="n"/>
      <c r="C91" s="17" t="n"/>
      <c r="D91" s="16" t="n"/>
      <c r="E91" s="18" t="n"/>
      <c r="F91" s="16" t="n"/>
      <c r="G91" s="16" t="n"/>
      <c r="H91" s="16" t="n"/>
      <c r="I91" s="19" t="n"/>
      <c r="J91" s="19" t="n"/>
      <c r="K91" s="16" t="n"/>
      <c r="L91" s="16" t="n"/>
      <c r="M91" s="20">
        <f>IF(C91&lt;&gt;"","⏳ À GÉNÉRER","")</f>
        <v/>
      </c>
    </row>
    <row r="92" ht="22" customHeight="1">
      <c r="A92" s="12">
        <f>IF(C92&lt;&gt;"",ROW()-4,"")</f>
        <v/>
      </c>
      <c r="B92" s="16" t="n"/>
      <c r="C92" s="17" t="n"/>
      <c r="D92" s="16" t="n"/>
      <c r="E92" s="18" t="n"/>
      <c r="F92" s="16" t="n"/>
      <c r="G92" s="16" t="n"/>
      <c r="H92" s="16" t="n"/>
      <c r="I92" s="19" t="n"/>
      <c r="J92" s="19" t="n"/>
      <c r="K92" s="16" t="n"/>
      <c r="L92" s="16" t="n"/>
      <c r="M92" s="20">
        <f>IF(C92&lt;&gt;"","⏳ À GÉNÉRER","")</f>
        <v/>
      </c>
    </row>
    <row r="93" ht="22" customHeight="1">
      <c r="A93" s="7">
        <f>IF(C93&lt;&gt;"",ROW()-4,"")</f>
        <v/>
      </c>
      <c r="B93" s="16" t="n"/>
      <c r="C93" s="17" t="n"/>
      <c r="D93" s="16" t="n"/>
      <c r="E93" s="18" t="n"/>
      <c r="F93" s="16" t="n"/>
      <c r="G93" s="16" t="n"/>
      <c r="H93" s="16" t="n"/>
      <c r="I93" s="19" t="n"/>
      <c r="J93" s="19" t="n"/>
      <c r="K93" s="16" t="n"/>
      <c r="L93" s="16" t="n"/>
      <c r="M93" s="20">
        <f>IF(C93&lt;&gt;"","⏳ À GÉNÉRER","")</f>
        <v/>
      </c>
    </row>
    <row r="94" ht="22" customHeight="1">
      <c r="A94" s="12">
        <f>IF(C94&lt;&gt;"",ROW()-4,"")</f>
        <v/>
      </c>
      <c r="B94" s="16" t="n"/>
      <c r="C94" s="17" t="n"/>
      <c r="D94" s="16" t="n"/>
      <c r="E94" s="18" t="n"/>
      <c r="F94" s="16" t="n"/>
      <c r="G94" s="16" t="n"/>
      <c r="H94" s="16" t="n"/>
      <c r="I94" s="19" t="n"/>
      <c r="J94" s="19" t="n"/>
      <c r="K94" s="16" t="n"/>
      <c r="L94" s="16" t="n"/>
      <c r="M94" s="20">
        <f>IF(C94&lt;&gt;"","⏳ À GÉNÉRER","")</f>
        <v/>
      </c>
    </row>
    <row r="95" ht="22" customHeight="1">
      <c r="A95" s="7">
        <f>IF(C95&lt;&gt;"",ROW()-4,"")</f>
        <v/>
      </c>
      <c r="B95" s="16" t="n"/>
      <c r="C95" s="17" t="n"/>
      <c r="D95" s="16" t="n"/>
      <c r="E95" s="18" t="n"/>
      <c r="F95" s="16" t="n"/>
      <c r="G95" s="16" t="n"/>
      <c r="H95" s="16" t="n"/>
      <c r="I95" s="19" t="n"/>
      <c r="J95" s="19" t="n"/>
      <c r="K95" s="16" t="n"/>
      <c r="L95" s="16" t="n"/>
      <c r="M95" s="20">
        <f>IF(C95&lt;&gt;"","⏳ À GÉNÉRER","")</f>
        <v/>
      </c>
    </row>
    <row r="96" ht="22" customHeight="1">
      <c r="A96" s="12">
        <f>IF(C96&lt;&gt;"",ROW()-4,"")</f>
        <v/>
      </c>
      <c r="B96" s="16" t="n"/>
      <c r="C96" s="17" t="n"/>
      <c r="D96" s="16" t="n"/>
      <c r="E96" s="18" t="n"/>
      <c r="F96" s="16" t="n"/>
      <c r="G96" s="16" t="n"/>
      <c r="H96" s="16" t="n"/>
      <c r="I96" s="19" t="n"/>
      <c r="J96" s="19" t="n"/>
      <c r="K96" s="16" t="n"/>
      <c r="L96" s="16" t="n"/>
      <c r="M96" s="20">
        <f>IF(C96&lt;&gt;"","⏳ À GÉNÉRER","")</f>
        <v/>
      </c>
    </row>
    <row r="97" ht="22" customHeight="1">
      <c r="A97" s="7">
        <f>IF(C97&lt;&gt;"",ROW()-4,"")</f>
        <v/>
      </c>
      <c r="B97" s="16" t="n"/>
      <c r="C97" s="17" t="n"/>
      <c r="D97" s="16" t="n"/>
      <c r="E97" s="18" t="n"/>
      <c r="F97" s="16" t="n"/>
      <c r="G97" s="16" t="n"/>
      <c r="H97" s="16" t="n"/>
      <c r="I97" s="19" t="n"/>
      <c r="J97" s="19" t="n"/>
      <c r="K97" s="16" t="n"/>
      <c r="L97" s="16" t="n"/>
      <c r="M97" s="20">
        <f>IF(C97&lt;&gt;"","⏳ À GÉNÉRER","")</f>
        <v/>
      </c>
    </row>
    <row r="98" ht="22" customHeight="1">
      <c r="A98" s="12">
        <f>IF(C98&lt;&gt;"",ROW()-4,"")</f>
        <v/>
      </c>
      <c r="B98" s="16" t="n"/>
      <c r="C98" s="17" t="n"/>
      <c r="D98" s="16" t="n"/>
      <c r="E98" s="18" t="n"/>
      <c r="F98" s="16" t="n"/>
      <c r="G98" s="16" t="n"/>
      <c r="H98" s="16" t="n"/>
      <c r="I98" s="19" t="n"/>
      <c r="J98" s="19" t="n"/>
      <c r="K98" s="16" t="n"/>
      <c r="L98" s="16" t="n"/>
      <c r="M98" s="20">
        <f>IF(C98&lt;&gt;"","⏳ À GÉNÉRER","")</f>
        <v/>
      </c>
    </row>
    <row r="99" ht="22" customHeight="1">
      <c r="A99" s="7">
        <f>IF(C99&lt;&gt;"",ROW()-4,"")</f>
        <v/>
      </c>
      <c r="B99" s="16" t="n"/>
      <c r="C99" s="17" t="n"/>
      <c r="D99" s="16" t="n"/>
      <c r="E99" s="18" t="n"/>
      <c r="F99" s="16" t="n"/>
      <c r="G99" s="16" t="n"/>
      <c r="H99" s="16" t="n"/>
      <c r="I99" s="19" t="n"/>
      <c r="J99" s="19" t="n"/>
      <c r="K99" s="16" t="n"/>
      <c r="L99" s="16" t="n"/>
      <c r="M99" s="20">
        <f>IF(C99&lt;&gt;"","⏳ À GÉNÉRER","")</f>
        <v/>
      </c>
    </row>
    <row r="100" ht="22" customHeight="1">
      <c r="A100" s="12">
        <f>IF(C100&lt;&gt;"",ROW()-4,"")</f>
        <v/>
      </c>
      <c r="B100" s="16" t="n"/>
      <c r="C100" s="17" t="n"/>
      <c r="D100" s="16" t="n"/>
      <c r="E100" s="18" t="n"/>
      <c r="F100" s="16" t="n"/>
      <c r="G100" s="16" t="n"/>
      <c r="H100" s="16" t="n"/>
      <c r="I100" s="19" t="n"/>
      <c r="J100" s="19" t="n"/>
      <c r="K100" s="16" t="n"/>
      <c r="L100" s="16" t="n"/>
      <c r="M100" s="20">
        <f>IF(C100&lt;&gt;"","⏳ À GÉNÉRER","")</f>
        <v/>
      </c>
    </row>
    <row r="101" ht="22" customHeight="1">
      <c r="A101" s="7">
        <f>IF(C101&lt;&gt;"",ROW()-4,"")</f>
        <v/>
      </c>
      <c r="B101" s="16" t="n"/>
      <c r="C101" s="17" t="n"/>
      <c r="D101" s="16" t="n"/>
      <c r="E101" s="18" t="n"/>
      <c r="F101" s="16" t="n"/>
      <c r="G101" s="16" t="n"/>
      <c r="H101" s="16" t="n"/>
      <c r="I101" s="19" t="n"/>
      <c r="J101" s="19" t="n"/>
      <c r="K101" s="16" t="n"/>
      <c r="L101" s="16" t="n"/>
      <c r="M101" s="20">
        <f>IF(C101&lt;&gt;"","⏳ À GÉNÉRER","")</f>
        <v/>
      </c>
    </row>
    <row r="102" ht="22" customHeight="1">
      <c r="A102" s="12">
        <f>IF(C102&lt;&gt;"",ROW()-4,"")</f>
        <v/>
      </c>
      <c r="B102" s="16" t="n"/>
      <c r="C102" s="17" t="n"/>
      <c r="D102" s="16" t="n"/>
      <c r="E102" s="18" t="n"/>
      <c r="F102" s="16" t="n"/>
      <c r="G102" s="16" t="n"/>
      <c r="H102" s="16" t="n"/>
      <c r="I102" s="19" t="n"/>
      <c r="J102" s="19" t="n"/>
      <c r="K102" s="16" t="n"/>
      <c r="L102" s="16" t="n"/>
      <c r="M102" s="20">
        <f>IF(C102&lt;&gt;"","⏳ À GÉNÉRER","")</f>
        <v/>
      </c>
    </row>
    <row r="103" ht="22" customHeight="1">
      <c r="A103" s="7">
        <f>IF(C103&lt;&gt;"",ROW()-4,"")</f>
        <v/>
      </c>
      <c r="B103" s="16" t="n"/>
      <c r="C103" s="17" t="n"/>
      <c r="D103" s="16" t="n"/>
      <c r="E103" s="18" t="n"/>
      <c r="F103" s="16" t="n"/>
      <c r="G103" s="16" t="n"/>
      <c r="H103" s="16" t="n"/>
      <c r="I103" s="19" t="n"/>
      <c r="J103" s="19" t="n"/>
      <c r="K103" s="16" t="n"/>
      <c r="L103" s="16" t="n"/>
      <c r="M103" s="20">
        <f>IF(C103&lt;&gt;"","⏳ À GÉNÉRER","")</f>
        <v/>
      </c>
    </row>
    <row r="104" ht="22" customHeight="1">
      <c r="A104" s="12">
        <f>IF(C104&lt;&gt;"",ROW()-4,"")</f>
        <v/>
      </c>
      <c r="B104" s="16" t="n"/>
      <c r="C104" s="17" t="n"/>
      <c r="D104" s="16" t="n"/>
      <c r="E104" s="18" t="n"/>
      <c r="F104" s="16" t="n"/>
      <c r="G104" s="16" t="n"/>
      <c r="H104" s="16" t="n"/>
      <c r="I104" s="19" t="n"/>
      <c r="J104" s="19" t="n"/>
      <c r="K104" s="16" t="n"/>
      <c r="L104" s="16" t="n"/>
      <c r="M104" s="20">
        <f>IF(C104&lt;&gt;"","⏳ À GÉNÉRER","")</f>
        <v/>
      </c>
    </row>
    <row r="105" ht="22" customHeight="1">
      <c r="A105" s="7">
        <f>IF(C105&lt;&gt;"",ROW()-4,"")</f>
        <v/>
      </c>
      <c r="B105" s="16" t="n"/>
      <c r="C105" s="17" t="n"/>
      <c r="D105" s="16" t="n"/>
      <c r="E105" s="18" t="n"/>
      <c r="F105" s="16" t="n"/>
      <c r="G105" s="16" t="n"/>
      <c r="H105" s="16" t="n"/>
      <c r="I105" s="19" t="n"/>
      <c r="J105" s="19" t="n"/>
      <c r="K105" s="16" t="n"/>
      <c r="L105" s="16" t="n"/>
      <c r="M105" s="20">
        <f>IF(C105&lt;&gt;"","⏳ À GÉNÉRER","")</f>
        <v/>
      </c>
    </row>
    <row r="106" ht="22" customHeight="1">
      <c r="A106" s="12">
        <f>IF(C106&lt;&gt;"",ROW()-4,"")</f>
        <v/>
      </c>
      <c r="B106" s="16" t="n"/>
      <c r="C106" s="17" t="n"/>
      <c r="D106" s="16" t="n"/>
      <c r="E106" s="18" t="n"/>
      <c r="F106" s="16" t="n"/>
      <c r="G106" s="16" t="n"/>
      <c r="H106" s="16" t="n"/>
      <c r="I106" s="19" t="n"/>
      <c r="J106" s="19" t="n"/>
      <c r="K106" s="16" t="n"/>
      <c r="L106" s="16" t="n"/>
      <c r="M106" s="20">
        <f>IF(C106&lt;&gt;"","⏳ À GÉNÉRER","")</f>
        <v/>
      </c>
    </row>
    <row r="107" ht="22" customHeight="1">
      <c r="A107" s="7">
        <f>IF(C107&lt;&gt;"",ROW()-4,"")</f>
        <v/>
      </c>
      <c r="B107" s="16" t="n"/>
      <c r="C107" s="17" t="n"/>
      <c r="D107" s="16" t="n"/>
      <c r="E107" s="18" t="n"/>
      <c r="F107" s="16" t="n"/>
      <c r="G107" s="16" t="n"/>
      <c r="H107" s="16" t="n"/>
      <c r="I107" s="19" t="n"/>
      <c r="J107" s="19" t="n"/>
      <c r="K107" s="16" t="n"/>
      <c r="L107" s="16" t="n"/>
      <c r="M107" s="20">
        <f>IF(C107&lt;&gt;"","⏳ À GÉNÉRER","")</f>
        <v/>
      </c>
    </row>
    <row r="108" ht="22" customHeight="1">
      <c r="A108" s="12">
        <f>IF(C108&lt;&gt;"",ROW()-4,"")</f>
        <v/>
      </c>
      <c r="B108" s="16" t="n"/>
      <c r="C108" s="17" t="n"/>
      <c r="D108" s="16" t="n"/>
      <c r="E108" s="18" t="n"/>
      <c r="F108" s="16" t="n"/>
      <c r="G108" s="16" t="n"/>
      <c r="H108" s="16" t="n"/>
      <c r="I108" s="19" t="n"/>
      <c r="J108" s="19" t="n"/>
      <c r="K108" s="16" t="n"/>
      <c r="L108" s="16" t="n"/>
      <c r="M108" s="20">
        <f>IF(C108&lt;&gt;"","⏳ À GÉNÉRER","")</f>
        <v/>
      </c>
    </row>
    <row r="109" ht="22" customHeight="1">
      <c r="A109" s="7">
        <f>IF(C109&lt;&gt;"",ROW()-4,"")</f>
        <v/>
      </c>
      <c r="B109" s="16" t="n"/>
      <c r="C109" s="17" t="n"/>
      <c r="D109" s="16" t="n"/>
      <c r="E109" s="18" t="n"/>
      <c r="F109" s="16" t="n"/>
      <c r="G109" s="16" t="n"/>
      <c r="H109" s="16" t="n"/>
      <c r="I109" s="19" t="n"/>
      <c r="J109" s="19" t="n"/>
      <c r="K109" s="16" t="n"/>
      <c r="L109" s="16" t="n"/>
      <c r="M109" s="20">
        <f>IF(C109&lt;&gt;"","⏳ À GÉNÉRER","")</f>
        <v/>
      </c>
    </row>
    <row r="110" ht="22" customHeight="1">
      <c r="A110" s="12">
        <f>IF(C110&lt;&gt;"",ROW()-4,"")</f>
        <v/>
      </c>
      <c r="B110" s="16" t="n"/>
      <c r="C110" s="17" t="n"/>
      <c r="D110" s="16" t="n"/>
      <c r="E110" s="18" t="n"/>
      <c r="F110" s="16" t="n"/>
      <c r="G110" s="16" t="n"/>
      <c r="H110" s="16" t="n"/>
      <c r="I110" s="19" t="n"/>
      <c r="J110" s="19" t="n"/>
      <c r="K110" s="16" t="n"/>
      <c r="L110" s="16" t="n"/>
      <c r="M110" s="20">
        <f>IF(C110&lt;&gt;"","⏳ À GÉNÉRER","")</f>
        <v/>
      </c>
    </row>
    <row r="111" ht="22" customHeight="1">
      <c r="A111" s="7">
        <f>IF(C111&lt;&gt;"",ROW()-4,"")</f>
        <v/>
      </c>
      <c r="B111" s="16" t="n"/>
      <c r="C111" s="17" t="n"/>
      <c r="D111" s="16" t="n"/>
      <c r="E111" s="18" t="n"/>
      <c r="F111" s="16" t="n"/>
      <c r="G111" s="16" t="n"/>
      <c r="H111" s="16" t="n"/>
      <c r="I111" s="19" t="n"/>
      <c r="J111" s="19" t="n"/>
      <c r="K111" s="16" t="n"/>
      <c r="L111" s="16" t="n"/>
      <c r="M111" s="20">
        <f>IF(C111&lt;&gt;"","⏳ À GÉNÉRER","")</f>
        <v/>
      </c>
    </row>
    <row r="112" ht="22" customHeight="1">
      <c r="A112" s="12">
        <f>IF(C112&lt;&gt;"",ROW()-4,"")</f>
        <v/>
      </c>
      <c r="B112" s="16" t="n"/>
      <c r="C112" s="17" t="n"/>
      <c r="D112" s="16" t="n"/>
      <c r="E112" s="18" t="n"/>
      <c r="F112" s="16" t="n"/>
      <c r="G112" s="16" t="n"/>
      <c r="H112" s="16" t="n"/>
      <c r="I112" s="19" t="n"/>
      <c r="J112" s="19" t="n"/>
      <c r="K112" s="16" t="n"/>
      <c r="L112" s="16" t="n"/>
      <c r="M112" s="20">
        <f>IF(C112&lt;&gt;"","⏳ À GÉNÉRER","")</f>
        <v/>
      </c>
    </row>
    <row r="113" ht="22" customHeight="1">
      <c r="A113" s="7">
        <f>IF(C113&lt;&gt;"",ROW()-4,"")</f>
        <v/>
      </c>
      <c r="B113" s="16" t="n"/>
      <c r="C113" s="17" t="n"/>
      <c r="D113" s="16" t="n"/>
      <c r="E113" s="18" t="n"/>
      <c r="F113" s="16" t="n"/>
      <c r="G113" s="16" t="n"/>
      <c r="H113" s="16" t="n"/>
      <c r="I113" s="19" t="n"/>
      <c r="J113" s="19" t="n"/>
      <c r="K113" s="16" t="n"/>
      <c r="L113" s="16" t="n"/>
      <c r="M113" s="20">
        <f>IF(C113&lt;&gt;"","⏳ À GÉNÉRER","")</f>
        <v/>
      </c>
    </row>
    <row r="114" ht="22" customHeight="1">
      <c r="A114" s="12">
        <f>IF(C114&lt;&gt;"",ROW()-4,"")</f>
        <v/>
      </c>
      <c r="B114" s="16" t="n"/>
      <c r="C114" s="17" t="n"/>
      <c r="D114" s="16" t="n"/>
      <c r="E114" s="18" t="n"/>
      <c r="F114" s="16" t="n"/>
      <c r="G114" s="16" t="n"/>
      <c r="H114" s="16" t="n"/>
      <c r="I114" s="19" t="n"/>
      <c r="J114" s="19" t="n"/>
      <c r="K114" s="16" t="n"/>
      <c r="L114" s="16" t="n"/>
      <c r="M114" s="20">
        <f>IF(C114&lt;&gt;"","⏳ À GÉNÉRER","")</f>
        <v/>
      </c>
    </row>
    <row r="115" ht="22" customHeight="1">
      <c r="A115" s="7">
        <f>IF(C115&lt;&gt;"",ROW()-4,"")</f>
        <v/>
      </c>
      <c r="B115" s="16" t="n"/>
      <c r="C115" s="17" t="n"/>
      <c r="D115" s="16" t="n"/>
      <c r="E115" s="18" t="n"/>
      <c r="F115" s="16" t="n"/>
      <c r="G115" s="16" t="n"/>
      <c r="H115" s="16" t="n"/>
      <c r="I115" s="19" t="n"/>
      <c r="J115" s="19" t="n"/>
      <c r="K115" s="16" t="n"/>
      <c r="L115" s="16" t="n"/>
      <c r="M115" s="20">
        <f>IF(C115&lt;&gt;"","⏳ À GÉNÉRER","")</f>
        <v/>
      </c>
    </row>
    <row r="116" ht="22" customHeight="1">
      <c r="A116" s="12">
        <f>IF(C116&lt;&gt;"",ROW()-4,"")</f>
        <v/>
      </c>
      <c r="B116" s="16" t="n"/>
      <c r="C116" s="17" t="n"/>
      <c r="D116" s="16" t="n"/>
      <c r="E116" s="18" t="n"/>
      <c r="F116" s="16" t="n"/>
      <c r="G116" s="16" t="n"/>
      <c r="H116" s="16" t="n"/>
      <c r="I116" s="19" t="n"/>
      <c r="J116" s="19" t="n"/>
      <c r="K116" s="16" t="n"/>
      <c r="L116" s="16" t="n"/>
      <c r="M116" s="20">
        <f>IF(C116&lt;&gt;"","⏳ À GÉNÉRER","")</f>
        <v/>
      </c>
    </row>
    <row r="117" ht="22" customHeight="1">
      <c r="A117" s="7">
        <f>IF(C117&lt;&gt;"",ROW()-4,"")</f>
        <v/>
      </c>
      <c r="B117" s="16" t="n"/>
      <c r="C117" s="17" t="n"/>
      <c r="D117" s="16" t="n"/>
      <c r="E117" s="18" t="n"/>
      <c r="F117" s="16" t="n"/>
      <c r="G117" s="16" t="n"/>
      <c r="H117" s="16" t="n"/>
      <c r="I117" s="19" t="n"/>
      <c r="J117" s="19" t="n"/>
      <c r="K117" s="16" t="n"/>
      <c r="L117" s="16" t="n"/>
      <c r="M117" s="20">
        <f>IF(C117&lt;&gt;"","⏳ À GÉNÉRER","")</f>
        <v/>
      </c>
    </row>
    <row r="118" ht="22" customHeight="1">
      <c r="A118" s="12">
        <f>IF(C118&lt;&gt;"",ROW()-4,"")</f>
        <v/>
      </c>
      <c r="B118" s="16" t="n"/>
      <c r="C118" s="17" t="n"/>
      <c r="D118" s="16" t="n"/>
      <c r="E118" s="18" t="n"/>
      <c r="F118" s="16" t="n"/>
      <c r="G118" s="16" t="n"/>
      <c r="H118" s="16" t="n"/>
      <c r="I118" s="19" t="n"/>
      <c r="J118" s="19" t="n"/>
      <c r="K118" s="16" t="n"/>
      <c r="L118" s="16" t="n"/>
      <c r="M118" s="20">
        <f>IF(C118&lt;&gt;"","⏳ À GÉNÉRER","")</f>
        <v/>
      </c>
    </row>
    <row r="119" ht="22" customHeight="1">
      <c r="A119" s="7">
        <f>IF(C119&lt;&gt;"",ROW()-4,"")</f>
        <v/>
      </c>
      <c r="B119" s="16" t="n"/>
      <c r="C119" s="17" t="n"/>
      <c r="D119" s="16" t="n"/>
      <c r="E119" s="18" t="n"/>
      <c r="F119" s="16" t="n"/>
      <c r="G119" s="16" t="n"/>
      <c r="H119" s="16" t="n"/>
      <c r="I119" s="19" t="n"/>
      <c r="J119" s="19" t="n"/>
      <c r="K119" s="16" t="n"/>
      <c r="L119" s="16" t="n"/>
      <c r="M119" s="20">
        <f>IF(C119&lt;&gt;"","⏳ À GÉNÉRER","")</f>
        <v/>
      </c>
    </row>
    <row r="120" ht="22" customHeight="1">
      <c r="A120" s="12">
        <f>IF(C120&lt;&gt;"",ROW()-4,"")</f>
        <v/>
      </c>
      <c r="B120" s="16" t="n"/>
      <c r="C120" s="17" t="n"/>
      <c r="D120" s="16" t="n"/>
      <c r="E120" s="18" t="n"/>
      <c r="F120" s="16" t="n"/>
      <c r="G120" s="16" t="n"/>
      <c r="H120" s="16" t="n"/>
      <c r="I120" s="19" t="n"/>
      <c r="J120" s="19" t="n"/>
      <c r="K120" s="16" t="n"/>
      <c r="L120" s="16" t="n"/>
      <c r="M120" s="20">
        <f>IF(C120&lt;&gt;"","⏳ À GÉNÉRER","")</f>
        <v/>
      </c>
    </row>
    <row r="121" ht="22" customHeight="1">
      <c r="A121" s="7">
        <f>IF(C121&lt;&gt;"",ROW()-4,"")</f>
        <v/>
      </c>
      <c r="B121" s="16" t="n"/>
      <c r="C121" s="17" t="n"/>
      <c r="D121" s="16" t="n"/>
      <c r="E121" s="18" t="n"/>
      <c r="F121" s="16" t="n"/>
      <c r="G121" s="16" t="n"/>
      <c r="H121" s="16" t="n"/>
      <c r="I121" s="19" t="n"/>
      <c r="J121" s="19" t="n"/>
      <c r="K121" s="16" t="n"/>
      <c r="L121" s="16" t="n"/>
      <c r="M121" s="20">
        <f>IF(C121&lt;&gt;"","⏳ À GÉNÉRER","")</f>
        <v/>
      </c>
    </row>
    <row r="122" ht="22" customHeight="1">
      <c r="A122" s="12">
        <f>IF(C122&lt;&gt;"",ROW()-4,"")</f>
        <v/>
      </c>
      <c r="B122" s="16" t="n"/>
      <c r="C122" s="17" t="n"/>
      <c r="D122" s="16" t="n"/>
      <c r="E122" s="18" t="n"/>
      <c r="F122" s="16" t="n"/>
      <c r="G122" s="16" t="n"/>
      <c r="H122" s="16" t="n"/>
      <c r="I122" s="19" t="n"/>
      <c r="J122" s="19" t="n"/>
      <c r="K122" s="16" t="n"/>
      <c r="L122" s="16" t="n"/>
      <c r="M122" s="20">
        <f>IF(C122&lt;&gt;"","⏳ À GÉNÉRER","")</f>
        <v/>
      </c>
    </row>
    <row r="123" ht="22" customHeight="1">
      <c r="A123" s="7">
        <f>IF(C123&lt;&gt;"",ROW()-4,"")</f>
        <v/>
      </c>
      <c r="B123" s="16" t="n"/>
      <c r="C123" s="17" t="n"/>
      <c r="D123" s="16" t="n"/>
      <c r="E123" s="18" t="n"/>
      <c r="F123" s="16" t="n"/>
      <c r="G123" s="16" t="n"/>
      <c r="H123" s="16" t="n"/>
      <c r="I123" s="19" t="n"/>
      <c r="J123" s="19" t="n"/>
      <c r="K123" s="16" t="n"/>
      <c r="L123" s="16" t="n"/>
      <c r="M123" s="20">
        <f>IF(C123&lt;&gt;"","⏳ À GÉNÉRER","")</f>
        <v/>
      </c>
    </row>
    <row r="124" ht="22" customHeight="1">
      <c r="A124" s="12">
        <f>IF(C124&lt;&gt;"",ROW()-4,"")</f>
        <v/>
      </c>
      <c r="B124" s="16" t="n"/>
      <c r="C124" s="17" t="n"/>
      <c r="D124" s="16" t="n"/>
      <c r="E124" s="18" t="n"/>
      <c r="F124" s="16" t="n"/>
      <c r="G124" s="16" t="n"/>
      <c r="H124" s="16" t="n"/>
      <c r="I124" s="19" t="n"/>
      <c r="J124" s="19" t="n"/>
      <c r="K124" s="16" t="n"/>
      <c r="L124" s="16" t="n"/>
      <c r="M124" s="20">
        <f>IF(C124&lt;&gt;"","⏳ À GÉNÉRER","")</f>
        <v/>
      </c>
    </row>
    <row r="125" ht="22" customHeight="1">
      <c r="A125" s="7">
        <f>IF(C125&lt;&gt;"",ROW()-4,"")</f>
        <v/>
      </c>
      <c r="B125" s="16" t="n"/>
      <c r="C125" s="17" t="n"/>
      <c r="D125" s="16" t="n"/>
      <c r="E125" s="18" t="n"/>
      <c r="F125" s="16" t="n"/>
      <c r="G125" s="16" t="n"/>
      <c r="H125" s="16" t="n"/>
      <c r="I125" s="19" t="n"/>
      <c r="J125" s="19" t="n"/>
      <c r="K125" s="16" t="n"/>
      <c r="L125" s="16" t="n"/>
      <c r="M125" s="20">
        <f>IF(C125&lt;&gt;"","⏳ À GÉNÉRER","")</f>
        <v/>
      </c>
    </row>
    <row r="126" ht="22" customHeight="1">
      <c r="A126" s="12">
        <f>IF(C126&lt;&gt;"",ROW()-4,"")</f>
        <v/>
      </c>
      <c r="B126" s="16" t="n"/>
      <c r="C126" s="17" t="n"/>
      <c r="D126" s="16" t="n"/>
      <c r="E126" s="18" t="n"/>
      <c r="F126" s="16" t="n"/>
      <c r="G126" s="16" t="n"/>
      <c r="H126" s="16" t="n"/>
      <c r="I126" s="19" t="n"/>
      <c r="J126" s="19" t="n"/>
      <c r="K126" s="16" t="n"/>
      <c r="L126" s="16" t="n"/>
      <c r="M126" s="20">
        <f>IF(C126&lt;&gt;"","⏳ À GÉNÉRER","")</f>
        <v/>
      </c>
    </row>
    <row r="127" ht="22" customHeight="1">
      <c r="A127" s="7">
        <f>IF(C127&lt;&gt;"",ROW()-4,"")</f>
        <v/>
      </c>
      <c r="B127" s="16" t="n"/>
      <c r="C127" s="17" t="n"/>
      <c r="D127" s="16" t="n"/>
      <c r="E127" s="18" t="n"/>
      <c r="F127" s="16" t="n"/>
      <c r="G127" s="16" t="n"/>
      <c r="H127" s="16" t="n"/>
      <c r="I127" s="19" t="n"/>
      <c r="J127" s="19" t="n"/>
      <c r="K127" s="16" t="n"/>
      <c r="L127" s="16" t="n"/>
      <c r="M127" s="20">
        <f>IF(C127&lt;&gt;"","⏳ À GÉNÉRER","")</f>
        <v/>
      </c>
    </row>
    <row r="128" ht="22" customHeight="1">
      <c r="A128" s="12">
        <f>IF(C128&lt;&gt;"",ROW()-4,"")</f>
        <v/>
      </c>
      <c r="B128" s="16" t="n"/>
      <c r="C128" s="17" t="n"/>
      <c r="D128" s="16" t="n"/>
      <c r="E128" s="18" t="n"/>
      <c r="F128" s="16" t="n"/>
      <c r="G128" s="16" t="n"/>
      <c r="H128" s="16" t="n"/>
      <c r="I128" s="19" t="n"/>
      <c r="J128" s="19" t="n"/>
      <c r="K128" s="16" t="n"/>
      <c r="L128" s="16" t="n"/>
      <c r="M128" s="20">
        <f>IF(C128&lt;&gt;"","⏳ À GÉNÉRER","")</f>
        <v/>
      </c>
    </row>
    <row r="129" ht="22" customHeight="1">
      <c r="A129" s="7">
        <f>IF(C129&lt;&gt;"",ROW()-4,"")</f>
        <v/>
      </c>
      <c r="B129" s="16" t="n"/>
      <c r="C129" s="17" t="n"/>
      <c r="D129" s="16" t="n"/>
      <c r="E129" s="18" t="n"/>
      <c r="F129" s="16" t="n"/>
      <c r="G129" s="16" t="n"/>
      <c r="H129" s="16" t="n"/>
      <c r="I129" s="19" t="n"/>
      <c r="J129" s="19" t="n"/>
      <c r="K129" s="16" t="n"/>
      <c r="L129" s="16" t="n"/>
      <c r="M129" s="20">
        <f>IF(C129&lt;&gt;"","⏳ À GÉNÉRER","")</f>
        <v/>
      </c>
    </row>
    <row r="130" ht="22" customHeight="1">
      <c r="A130" s="12">
        <f>IF(C130&lt;&gt;"",ROW()-4,"")</f>
        <v/>
      </c>
      <c r="B130" s="16" t="n"/>
      <c r="C130" s="17" t="n"/>
      <c r="D130" s="16" t="n"/>
      <c r="E130" s="18" t="n"/>
      <c r="F130" s="16" t="n"/>
      <c r="G130" s="16" t="n"/>
      <c r="H130" s="16" t="n"/>
      <c r="I130" s="19" t="n"/>
      <c r="J130" s="19" t="n"/>
      <c r="K130" s="16" t="n"/>
      <c r="L130" s="16" t="n"/>
      <c r="M130" s="20">
        <f>IF(C130&lt;&gt;"","⏳ À GÉNÉRER","")</f>
        <v/>
      </c>
    </row>
    <row r="131" ht="22" customHeight="1">
      <c r="A131" s="7">
        <f>IF(C131&lt;&gt;"",ROW()-4,"")</f>
        <v/>
      </c>
      <c r="B131" s="16" t="n"/>
      <c r="C131" s="17" t="n"/>
      <c r="D131" s="16" t="n"/>
      <c r="E131" s="18" t="n"/>
      <c r="F131" s="16" t="n"/>
      <c r="G131" s="16" t="n"/>
      <c r="H131" s="16" t="n"/>
      <c r="I131" s="19" t="n"/>
      <c r="J131" s="19" t="n"/>
      <c r="K131" s="16" t="n"/>
      <c r="L131" s="16" t="n"/>
      <c r="M131" s="20">
        <f>IF(C131&lt;&gt;"","⏳ À GÉNÉRER","")</f>
        <v/>
      </c>
    </row>
    <row r="132" ht="22" customHeight="1">
      <c r="A132" s="12">
        <f>IF(C132&lt;&gt;"",ROW()-4,"")</f>
        <v/>
      </c>
      <c r="B132" s="16" t="n"/>
      <c r="C132" s="17" t="n"/>
      <c r="D132" s="16" t="n"/>
      <c r="E132" s="18" t="n"/>
      <c r="F132" s="16" t="n"/>
      <c r="G132" s="16" t="n"/>
      <c r="H132" s="16" t="n"/>
      <c r="I132" s="19" t="n"/>
      <c r="J132" s="19" t="n"/>
      <c r="K132" s="16" t="n"/>
      <c r="L132" s="16" t="n"/>
      <c r="M132" s="20">
        <f>IF(C132&lt;&gt;"","⏳ À GÉNÉRER","")</f>
        <v/>
      </c>
    </row>
    <row r="133" ht="22" customHeight="1">
      <c r="A133" s="7">
        <f>IF(C133&lt;&gt;"",ROW()-4,"")</f>
        <v/>
      </c>
      <c r="B133" s="16" t="n"/>
      <c r="C133" s="17" t="n"/>
      <c r="D133" s="16" t="n"/>
      <c r="E133" s="18" t="n"/>
      <c r="F133" s="16" t="n"/>
      <c r="G133" s="16" t="n"/>
      <c r="H133" s="16" t="n"/>
      <c r="I133" s="19" t="n"/>
      <c r="J133" s="19" t="n"/>
      <c r="K133" s="16" t="n"/>
      <c r="L133" s="16" t="n"/>
      <c r="M133" s="20">
        <f>IF(C133&lt;&gt;"","⏳ À GÉNÉRER","")</f>
        <v/>
      </c>
    </row>
    <row r="134" ht="22" customHeight="1">
      <c r="A134" s="12">
        <f>IF(C134&lt;&gt;"",ROW()-4,"")</f>
        <v/>
      </c>
      <c r="B134" s="16" t="n"/>
      <c r="C134" s="17" t="n"/>
      <c r="D134" s="16" t="n"/>
      <c r="E134" s="18" t="n"/>
      <c r="F134" s="16" t="n"/>
      <c r="G134" s="16" t="n"/>
      <c r="H134" s="16" t="n"/>
      <c r="I134" s="19" t="n"/>
      <c r="J134" s="19" t="n"/>
      <c r="K134" s="16" t="n"/>
      <c r="L134" s="16" t="n"/>
      <c r="M134" s="20">
        <f>IF(C134&lt;&gt;"","⏳ À GÉNÉRER","")</f>
        <v/>
      </c>
    </row>
    <row r="135" ht="22" customHeight="1">
      <c r="A135" s="7">
        <f>IF(C135&lt;&gt;"",ROW()-4,"")</f>
        <v/>
      </c>
      <c r="B135" s="16" t="n"/>
      <c r="C135" s="17" t="n"/>
      <c r="D135" s="16" t="n"/>
      <c r="E135" s="18" t="n"/>
      <c r="F135" s="16" t="n"/>
      <c r="G135" s="16" t="n"/>
      <c r="H135" s="16" t="n"/>
      <c r="I135" s="19" t="n"/>
      <c r="J135" s="19" t="n"/>
      <c r="K135" s="16" t="n"/>
      <c r="L135" s="16" t="n"/>
      <c r="M135" s="20">
        <f>IF(C135&lt;&gt;"","⏳ À GÉNÉRER","")</f>
        <v/>
      </c>
    </row>
    <row r="136" ht="22" customHeight="1">
      <c r="A136" s="12">
        <f>IF(C136&lt;&gt;"",ROW()-4,"")</f>
        <v/>
      </c>
      <c r="B136" s="16" t="n"/>
      <c r="C136" s="17" t="n"/>
      <c r="D136" s="16" t="n"/>
      <c r="E136" s="18" t="n"/>
      <c r="F136" s="16" t="n"/>
      <c r="G136" s="16" t="n"/>
      <c r="H136" s="16" t="n"/>
      <c r="I136" s="19" t="n"/>
      <c r="J136" s="19" t="n"/>
      <c r="K136" s="16" t="n"/>
      <c r="L136" s="16" t="n"/>
      <c r="M136" s="20">
        <f>IF(C136&lt;&gt;"","⏳ À GÉNÉRER","")</f>
        <v/>
      </c>
    </row>
    <row r="137" ht="22" customHeight="1">
      <c r="A137" s="7">
        <f>IF(C137&lt;&gt;"",ROW()-4,"")</f>
        <v/>
      </c>
      <c r="B137" s="16" t="n"/>
      <c r="C137" s="17" t="n"/>
      <c r="D137" s="16" t="n"/>
      <c r="E137" s="18" t="n"/>
      <c r="F137" s="16" t="n"/>
      <c r="G137" s="16" t="n"/>
      <c r="H137" s="16" t="n"/>
      <c r="I137" s="19" t="n"/>
      <c r="J137" s="19" t="n"/>
      <c r="K137" s="16" t="n"/>
      <c r="L137" s="16" t="n"/>
      <c r="M137" s="20">
        <f>IF(C137&lt;&gt;"","⏳ À GÉNÉRER","")</f>
        <v/>
      </c>
    </row>
    <row r="138" ht="22" customHeight="1">
      <c r="A138" s="12">
        <f>IF(C138&lt;&gt;"",ROW()-4,"")</f>
        <v/>
      </c>
      <c r="B138" s="16" t="n"/>
      <c r="C138" s="17" t="n"/>
      <c r="D138" s="16" t="n"/>
      <c r="E138" s="18" t="n"/>
      <c r="F138" s="16" t="n"/>
      <c r="G138" s="16" t="n"/>
      <c r="H138" s="16" t="n"/>
      <c r="I138" s="19" t="n"/>
      <c r="J138" s="19" t="n"/>
      <c r="K138" s="16" t="n"/>
      <c r="L138" s="16" t="n"/>
      <c r="M138" s="20">
        <f>IF(C138&lt;&gt;"","⏳ À GÉNÉRER","")</f>
        <v/>
      </c>
    </row>
    <row r="139" ht="22" customHeight="1">
      <c r="A139" s="7">
        <f>IF(C139&lt;&gt;"",ROW()-4,"")</f>
        <v/>
      </c>
      <c r="B139" s="16" t="n"/>
      <c r="C139" s="17" t="n"/>
      <c r="D139" s="16" t="n"/>
      <c r="E139" s="18" t="n"/>
      <c r="F139" s="16" t="n"/>
      <c r="G139" s="16" t="n"/>
      <c r="H139" s="16" t="n"/>
      <c r="I139" s="19" t="n"/>
      <c r="J139" s="19" t="n"/>
      <c r="K139" s="16" t="n"/>
      <c r="L139" s="16" t="n"/>
      <c r="M139" s="20">
        <f>IF(C139&lt;&gt;"","⏳ À GÉNÉRER","")</f>
        <v/>
      </c>
    </row>
    <row r="140" ht="22" customHeight="1">
      <c r="A140" s="12">
        <f>IF(C140&lt;&gt;"",ROW()-4,"")</f>
        <v/>
      </c>
      <c r="B140" s="16" t="n"/>
      <c r="C140" s="17" t="n"/>
      <c r="D140" s="16" t="n"/>
      <c r="E140" s="18" t="n"/>
      <c r="F140" s="16" t="n"/>
      <c r="G140" s="16" t="n"/>
      <c r="H140" s="16" t="n"/>
      <c r="I140" s="19" t="n"/>
      <c r="J140" s="19" t="n"/>
      <c r="K140" s="16" t="n"/>
      <c r="L140" s="16" t="n"/>
      <c r="M140" s="20">
        <f>IF(C140&lt;&gt;"","⏳ À GÉNÉRER","")</f>
        <v/>
      </c>
    </row>
    <row r="141" ht="22" customHeight="1">
      <c r="A141" s="7">
        <f>IF(C141&lt;&gt;"",ROW()-4,"")</f>
        <v/>
      </c>
      <c r="B141" s="16" t="n"/>
      <c r="C141" s="17" t="n"/>
      <c r="D141" s="16" t="n"/>
      <c r="E141" s="18" t="n"/>
      <c r="F141" s="16" t="n"/>
      <c r="G141" s="16" t="n"/>
      <c r="H141" s="16" t="n"/>
      <c r="I141" s="19" t="n"/>
      <c r="J141" s="19" t="n"/>
      <c r="K141" s="16" t="n"/>
      <c r="L141" s="16" t="n"/>
      <c r="M141" s="20">
        <f>IF(C141&lt;&gt;"","⏳ À GÉNÉRER","")</f>
        <v/>
      </c>
    </row>
    <row r="142" ht="22" customHeight="1">
      <c r="A142" s="12">
        <f>IF(C142&lt;&gt;"",ROW()-4,"")</f>
        <v/>
      </c>
      <c r="B142" s="16" t="n"/>
      <c r="C142" s="17" t="n"/>
      <c r="D142" s="16" t="n"/>
      <c r="E142" s="18" t="n"/>
      <c r="F142" s="16" t="n"/>
      <c r="G142" s="16" t="n"/>
      <c r="H142" s="16" t="n"/>
      <c r="I142" s="19" t="n"/>
      <c r="J142" s="19" t="n"/>
      <c r="K142" s="16" t="n"/>
      <c r="L142" s="16" t="n"/>
      <c r="M142" s="20">
        <f>IF(C142&lt;&gt;"","⏳ À GÉNÉRER","")</f>
        <v/>
      </c>
    </row>
    <row r="143" ht="22" customHeight="1">
      <c r="A143" s="7">
        <f>IF(C143&lt;&gt;"",ROW()-4,"")</f>
        <v/>
      </c>
      <c r="B143" s="16" t="n"/>
      <c r="C143" s="17" t="n"/>
      <c r="D143" s="16" t="n"/>
      <c r="E143" s="18" t="n"/>
      <c r="F143" s="16" t="n"/>
      <c r="G143" s="16" t="n"/>
      <c r="H143" s="16" t="n"/>
      <c r="I143" s="19" t="n"/>
      <c r="J143" s="19" t="n"/>
      <c r="K143" s="16" t="n"/>
      <c r="L143" s="16" t="n"/>
      <c r="M143" s="20">
        <f>IF(C143&lt;&gt;"","⏳ À GÉNÉRER","")</f>
        <v/>
      </c>
    </row>
    <row r="144" ht="22" customHeight="1">
      <c r="A144" s="12">
        <f>IF(C144&lt;&gt;"",ROW()-4,"")</f>
        <v/>
      </c>
      <c r="B144" s="16" t="n"/>
      <c r="C144" s="17" t="n"/>
      <c r="D144" s="16" t="n"/>
      <c r="E144" s="18" t="n"/>
      <c r="F144" s="16" t="n"/>
      <c r="G144" s="16" t="n"/>
      <c r="H144" s="16" t="n"/>
      <c r="I144" s="19" t="n"/>
      <c r="J144" s="19" t="n"/>
      <c r="K144" s="16" t="n"/>
      <c r="L144" s="16" t="n"/>
      <c r="M144" s="20">
        <f>IF(C144&lt;&gt;"","⏳ À GÉNÉRER","")</f>
        <v/>
      </c>
    </row>
    <row r="145" ht="22" customHeight="1">
      <c r="A145" s="7">
        <f>IF(C145&lt;&gt;"",ROW()-4,"")</f>
        <v/>
      </c>
      <c r="B145" s="16" t="n"/>
      <c r="C145" s="17" t="n"/>
      <c r="D145" s="16" t="n"/>
      <c r="E145" s="18" t="n"/>
      <c r="F145" s="16" t="n"/>
      <c r="G145" s="16" t="n"/>
      <c r="H145" s="16" t="n"/>
      <c r="I145" s="19" t="n"/>
      <c r="J145" s="19" t="n"/>
      <c r="K145" s="16" t="n"/>
      <c r="L145" s="16" t="n"/>
      <c r="M145" s="20">
        <f>IF(C145&lt;&gt;"","⏳ À GÉNÉRER","")</f>
        <v/>
      </c>
    </row>
    <row r="146" ht="22" customHeight="1">
      <c r="A146" s="12">
        <f>IF(C146&lt;&gt;"",ROW()-4,"")</f>
        <v/>
      </c>
      <c r="B146" s="16" t="n"/>
      <c r="C146" s="17" t="n"/>
      <c r="D146" s="16" t="n"/>
      <c r="E146" s="18" t="n"/>
      <c r="F146" s="16" t="n"/>
      <c r="G146" s="16" t="n"/>
      <c r="H146" s="16" t="n"/>
      <c r="I146" s="19" t="n"/>
      <c r="J146" s="19" t="n"/>
      <c r="K146" s="16" t="n"/>
      <c r="L146" s="16" t="n"/>
      <c r="M146" s="20">
        <f>IF(C146&lt;&gt;"","⏳ À GÉNÉRER","")</f>
        <v/>
      </c>
    </row>
    <row r="147" ht="22" customHeight="1">
      <c r="A147" s="7">
        <f>IF(C147&lt;&gt;"",ROW()-4,"")</f>
        <v/>
      </c>
      <c r="B147" s="16" t="n"/>
      <c r="C147" s="17" t="n"/>
      <c r="D147" s="16" t="n"/>
      <c r="E147" s="18" t="n"/>
      <c r="F147" s="16" t="n"/>
      <c r="G147" s="16" t="n"/>
      <c r="H147" s="16" t="n"/>
      <c r="I147" s="19" t="n"/>
      <c r="J147" s="19" t="n"/>
      <c r="K147" s="16" t="n"/>
      <c r="L147" s="16" t="n"/>
      <c r="M147" s="20">
        <f>IF(C147&lt;&gt;"","⏳ À GÉNÉRER","")</f>
        <v/>
      </c>
    </row>
    <row r="148" ht="22" customHeight="1">
      <c r="A148" s="12">
        <f>IF(C148&lt;&gt;"",ROW()-4,"")</f>
        <v/>
      </c>
      <c r="B148" s="16" t="n"/>
      <c r="C148" s="17" t="n"/>
      <c r="D148" s="16" t="n"/>
      <c r="E148" s="18" t="n"/>
      <c r="F148" s="16" t="n"/>
      <c r="G148" s="16" t="n"/>
      <c r="H148" s="16" t="n"/>
      <c r="I148" s="19" t="n"/>
      <c r="J148" s="19" t="n"/>
      <c r="K148" s="16" t="n"/>
      <c r="L148" s="16" t="n"/>
      <c r="M148" s="20">
        <f>IF(C148&lt;&gt;"","⏳ À GÉNÉRER","")</f>
        <v/>
      </c>
    </row>
    <row r="149" ht="22" customHeight="1">
      <c r="A149" s="7">
        <f>IF(C149&lt;&gt;"",ROW()-4,"")</f>
        <v/>
      </c>
      <c r="B149" s="16" t="n"/>
      <c r="C149" s="17" t="n"/>
      <c r="D149" s="16" t="n"/>
      <c r="E149" s="18" t="n"/>
      <c r="F149" s="16" t="n"/>
      <c r="G149" s="16" t="n"/>
      <c r="H149" s="16" t="n"/>
      <c r="I149" s="19" t="n"/>
      <c r="J149" s="19" t="n"/>
      <c r="K149" s="16" t="n"/>
      <c r="L149" s="16" t="n"/>
      <c r="M149" s="20">
        <f>IF(C149&lt;&gt;"","⏳ À GÉNÉRER","")</f>
        <v/>
      </c>
    </row>
    <row r="150" ht="22" customHeight="1">
      <c r="A150" s="12">
        <f>IF(C150&lt;&gt;"",ROW()-4,"")</f>
        <v/>
      </c>
      <c r="B150" s="16" t="n"/>
      <c r="C150" s="17" t="n"/>
      <c r="D150" s="16" t="n"/>
      <c r="E150" s="18" t="n"/>
      <c r="F150" s="16" t="n"/>
      <c r="G150" s="16" t="n"/>
      <c r="H150" s="16" t="n"/>
      <c r="I150" s="19" t="n"/>
      <c r="J150" s="19" t="n"/>
      <c r="K150" s="16" t="n"/>
      <c r="L150" s="16" t="n"/>
      <c r="M150" s="20">
        <f>IF(C150&lt;&gt;"","⏳ À GÉNÉRER","")</f>
        <v/>
      </c>
    </row>
    <row r="151" ht="22" customHeight="1">
      <c r="A151" s="7">
        <f>IF(C151&lt;&gt;"",ROW()-4,"")</f>
        <v/>
      </c>
      <c r="B151" s="16" t="n"/>
      <c r="C151" s="17" t="n"/>
      <c r="D151" s="16" t="n"/>
      <c r="E151" s="18" t="n"/>
      <c r="F151" s="16" t="n"/>
      <c r="G151" s="16" t="n"/>
      <c r="H151" s="16" t="n"/>
      <c r="I151" s="19" t="n"/>
      <c r="J151" s="19" t="n"/>
      <c r="K151" s="16" t="n"/>
      <c r="L151" s="16" t="n"/>
      <c r="M151" s="20">
        <f>IF(C151&lt;&gt;"","⏳ À GÉNÉRER","")</f>
        <v/>
      </c>
    </row>
    <row r="152" ht="22" customHeight="1">
      <c r="A152" s="12">
        <f>IF(C152&lt;&gt;"",ROW()-4,"")</f>
        <v/>
      </c>
      <c r="B152" s="16" t="n"/>
      <c r="C152" s="17" t="n"/>
      <c r="D152" s="16" t="n"/>
      <c r="E152" s="18" t="n"/>
      <c r="F152" s="16" t="n"/>
      <c r="G152" s="16" t="n"/>
      <c r="H152" s="16" t="n"/>
      <c r="I152" s="19" t="n"/>
      <c r="J152" s="19" t="n"/>
      <c r="K152" s="16" t="n"/>
      <c r="L152" s="16" t="n"/>
      <c r="M152" s="20">
        <f>IF(C152&lt;&gt;"","⏳ À GÉNÉRER","")</f>
        <v/>
      </c>
    </row>
    <row r="153" ht="22" customHeight="1">
      <c r="A153" s="7">
        <f>IF(C153&lt;&gt;"",ROW()-4,"")</f>
        <v/>
      </c>
      <c r="B153" s="16" t="n"/>
      <c r="C153" s="17" t="n"/>
      <c r="D153" s="16" t="n"/>
      <c r="E153" s="18" t="n"/>
      <c r="F153" s="16" t="n"/>
      <c r="G153" s="16" t="n"/>
      <c r="H153" s="16" t="n"/>
      <c r="I153" s="19" t="n"/>
      <c r="J153" s="19" t="n"/>
      <c r="K153" s="16" t="n"/>
      <c r="L153" s="16" t="n"/>
      <c r="M153" s="20">
        <f>IF(C153&lt;&gt;"","⏳ À GÉNÉRER","")</f>
        <v/>
      </c>
    </row>
    <row r="154" ht="22" customHeight="1">
      <c r="A154" s="12">
        <f>IF(C154&lt;&gt;"",ROW()-4,"")</f>
        <v/>
      </c>
      <c r="B154" s="16" t="n"/>
      <c r="C154" s="17" t="n"/>
      <c r="D154" s="16" t="n"/>
      <c r="E154" s="18" t="n"/>
      <c r="F154" s="16" t="n"/>
      <c r="G154" s="16" t="n"/>
      <c r="H154" s="16" t="n"/>
      <c r="I154" s="19" t="n"/>
      <c r="J154" s="19" t="n"/>
      <c r="K154" s="16" t="n"/>
      <c r="L154" s="16" t="n"/>
      <c r="M154" s="20">
        <f>IF(C154&lt;&gt;"","⏳ À GÉNÉRER","")</f>
        <v/>
      </c>
    </row>
    <row r="156" ht="16" customHeight="1">
      <c r="A156" s="21" t="inlineStr">
        <is>
          <t xml:space="preserve">  🔽  Col C = cliquer sur la cellule → flèche liste déroulante → choisir le client  |  Col E = même principe pour la licence  |  Si un nouveau client n'apparaît pas → l'ajouter dans BASE CLIENTS d'abord</t>
        </is>
      </c>
    </row>
  </sheetData>
  <mergeCells count="3">
    <mergeCell ref="A156:M156"/>
    <mergeCell ref="A3:M3"/>
    <mergeCell ref="A2:M2"/>
  </mergeCells>
  <conditionalFormatting sqref="M5:M154">
    <cfRule type="expression" priority="1" dxfId="3">
      <formula>M5="✅ GÉNÉRÉ"</formula>
    </cfRule>
    <cfRule type="expression" priority="2" dxfId="4">
      <formula>M5="❌ ANNULÉE"</formula>
    </cfRule>
    <cfRule type="expression" priority="3" dxfId="5">
      <formula>M5="🔄 À CORRIGER"</formula>
    </cfRule>
  </conditionalFormatting>
  <dataValidations count="4">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showDropDown="0" showInputMessage="1" showErrorMessage="1" allowBlank="1" errorTitle="Client introuvable" error="Sélectionne un client depuis la liste ou ajoute-le dans BASE CLIENTS" promptTitle="🔽 Choix client" prompt="Sélectionne le client dans la liste — il doit être dans BASE CLIENTS" type="list">
      <formula1>LISTE_CLIENTS</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showDropDown="0" showInputMessage="1" showErrorMessage="0" allowBlank="1" promptTitle="🔽 Choix licence" prompt="Sélectionne le N° licence à charger — doit correspondre à ce client dans BASE CLIENTS" type="list">
      <formula1>LISTE_LICENCES</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showDropDown="0" showInputMessage="0" showErrorMessage="0" allowBlank="1" type="list">
      <formula1>"MOIN(COSTA RICA),TURBO(COLOMBIA)"</formula1>
    </dataValidation>
    <dataValidation sqref="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showDropDown="0" showInputMessage="0" showErrorMessage="0" allowBlank="1" type="list">
      <formula1>"⏳ À GÉNÉRER,✅ GÉNÉRÉ,🔄 À CORRIGER,❌ ANNULÉE"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11"/>
  <sheetViews>
    <sheetView showGridLines="0" workbookViewId="0">
      <selection activeCell="A1" sqref="A1"/>
    </sheetView>
  </sheetViews>
  <sheetFormatPr baseColWidth="8" defaultRowHeight="15"/>
  <cols>
    <col width="4" customWidth="1" min="1" max="1"/>
    <col width="40" customWidth="1" min="2" max="2"/>
    <col width="20" customWidth="1" min="3" max="3"/>
    <col width="20" customWidth="1" min="4" max="4"/>
    <col width="20" customWidth="1" min="5" max="5"/>
    <col width="4" customWidth="1" min="6" max="6"/>
  </cols>
  <sheetData>
    <row r="2" ht="42" customHeight="1">
      <c r="A2" s="1" t="inlineStr">
        <is>
          <t>📊   EDEN FOOD — TABLEAU DE BORD LICENCES</t>
        </is>
      </c>
    </row>
    <row r="4" ht="34" customHeight="1">
      <c r="B4" s="22" t="inlineStr">
        <is>
          <t>TOTAL LICENCES ENREGISTRÉES</t>
        </is>
      </c>
      <c r="E4" s="23">
        <f>COUNTA('📋 BASE CLIENTS'!B5:B54)</f>
        <v/>
      </c>
    </row>
    <row r="5" ht="34" customHeight="1">
      <c r="B5" s="24" t="inlineStr">
        <is>
          <t>COMMANDES ⏳ À GÉNÉRER</t>
        </is>
      </c>
      <c r="E5" s="25">
        <f>COUNTIF('🚢 COMMANDES'!M5:M154,"⏳ À GÉNÉRER")</f>
        <v/>
      </c>
    </row>
    <row r="6" ht="34" customHeight="1">
      <c r="B6" s="26" t="inlineStr">
        <is>
          <t>COMMANDES ✅ GÉNÉRÉES</t>
        </is>
      </c>
      <c r="E6" s="27">
        <f>COUNTIF('🚢 COMMANDES'!M5:M154,"✅ GÉNÉRÉ")</f>
        <v/>
      </c>
    </row>
    <row r="7" ht="34" customHeight="1">
      <c r="B7" s="28" t="inlineStr">
        <is>
          <t>LICENCES ALERTE 🔴 (&lt; 19 591 kgs)</t>
        </is>
      </c>
      <c r="E7" s="29">
        <f>COUNTIFS('📋 BASE CLIENTS'!B5:B54,"&lt;&gt;""",'📋 BASE CLIENTS'!I5:I54,"&gt;=0",'📋 BASE CLIENTS'!I5:I54,"&lt;19591.2")</f>
        <v/>
      </c>
    </row>
    <row r="8" ht="34" customHeight="1">
      <c r="B8" s="28" t="inlineStr">
        <is>
          <t>LICENCES EN DÉPASSEMENT ❌ (solde &lt; 0)</t>
        </is>
      </c>
      <c r="E8" s="29">
        <f>COUNTIFS('📋 BASE CLIENTS'!B5:B54,"&lt;&gt;""",'📋 BASE CLIENTS'!I5:I54,"&lt;0")</f>
        <v/>
      </c>
    </row>
    <row r="9" ht="34" customHeight="1">
      <c r="B9" s="30" t="inlineStr">
        <is>
          <t>POIDS TOTAL EN COURS (kgs)</t>
        </is>
      </c>
      <c r="E9" s="31">
        <f>SUMPRODUCT(('🚢 COMMANDES'!M5:M154="⏳ À GÉNÉRER")*('🚢 COMMANDES'!K5:K154)*IF(ISNUMBER(SEARCH("TURBO",'🚢 COMMANDES'!H5:H154)),1080,1200)*18.14)</f>
        <v/>
      </c>
    </row>
    <row r="10" ht="34" customHeight="1">
      <c r="B10" s="22" t="inlineStr">
        <is>
          <t>SOLDE TOTAL TOUTES LICENCES (kgs)</t>
        </is>
      </c>
      <c r="E10" s="32">
        <f>SUMIF('📋 BASE CLIENTS'!B5:B54,"&lt;&gt;""",'📋 BASE CLIENTS'!I5:I54)</f>
        <v/>
      </c>
    </row>
    <row r="11" ht="18" customHeight="1">
      <c r="B11" s="33" t="inlineStr">
        <is>
          <t xml:space="preserve">  ⚡  Tous les KPIs se recalculent automatiquement à chaque saisie</t>
        </is>
      </c>
    </row>
  </sheetData>
  <mergeCells count="16">
    <mergeCell ref="B10:D10"/>
    <mergeCell ref="A2:F2"/>
    <mergeCell ref="E4:F4"/>
    <mergeCell ref="B5:D5"/>
    <mergeCell ref="E6:F6"/>
    <mergeCell ref="E7:F7"/>
    <mergeCell ref="E10:F10"/>
    <mergeCell ref="B8:D8"/>
    <mergeCell ref="B11:F11"/>
    <mergeCell ref="B4:D4"/>
    <mergeCell ref="E5:F5"/>
    <mergeCell ref="B9:D9"/>
    <mergeCell ref="B7:D7"/>
    <mergeCell ref="E9:F9"/>
    <mergeCell ref="B6:D6"/>
    <mergeCell ref="E8:F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B21"/>
  <sheetViews>
    <sheetView showGridLines="0" workbookViewId="0">
      <selection activeCell="A1" sqref="A1"/>
    </sheetView>
  </sheetViews>
  <sheetFormatPr baseColWidth="8" defaultRowHeight="15"/>
  <cols>
    <col width="100" customWidth="1" min="2" max="2"/>
  </cols>
  <sheetData>
    <row r="2" ht="40" customHeight="1">
      <c r="B2" s="34" t="inlineStr">
        <is>
          <t>EDEN FOOD — BASE DE DONNÉES V4 — LISTES DÉROULANTES + MULTI-LICENCES</t>
        </is>
      </c>
    </row>
    <row r="3" ht="8" customHeight="1">
      <c r="B3" s="35" t="inlineStr"/>
    </row>
    <row r="4" ht="14" customHeight="1">
      <c r="B4" s="36" t="inlineStr">
        <is>
          <t>━━━  COMMENT SAISIR UNE COMMANDE EN 30 SECONDES  ━━━━━━━━━━━━━━━━━━━━━━━━━━━━━━━━━━━━━━━━━━━━━━━━━━━━━━━</t>
        </is>
      </c>
    </row>
    <row r="5" ht="6" customHeight="1">
      <c r="B5" s="35" t="inlineStr"/>
    </row>
    <row r="6" ht="18" customHeight="1">
      <c r="B6" s="37" t="inlineStr">
        <is>
          <t xml:space="preserve">  1️⃣  Col B — Saisir la semaine (ex: S-19)</t>
        </is>
      </c>
    </row>
    <row r="7" ht="18" customHeight="1">
      <c r="B7" s="38" t="inlineStr">
        <is>
          <t xml:space="preserve">  2️⃣  Col C — Cliquer → 🔽 Sélectionner le client dans la liste</t>
        </is>
      </c>
    </row>
    <row r="8" ht="18" customHeight="1">
      <c r="B8" s="37" t="inlineStr">
        <is>
          <t xml:space="preserve">  3️⃣  Col D — Saisir la référence booking</t>
        </is>
      </c>
    </row>
    <row r="9" ht="18" customHeight="1">
      <c r="B9" s="39" t="inlineStr">
        <is>
          <t xml:space="preserve">  4️⃣  Col E — Cliquer → 🔽 Sélectionner la licence concernée</t>
        </is>
      </c>
    </row>
    <row r="10" ht="16" customHeight="1">
      <c r="B10" s="40" t="inlineStr">
        <is>
          <t xml:space="preserve">       ⚠️  Point clé : si le client a 2 licences, tu choisis laquelle est chargée ici</t>
        </is>
      </c>
    </row>
    <row r="11" ht="18" customHeight="1">
      <c r="B11" s="37" t="inlineStr">
        <is>
          <t xml:space="preserve">  5️⃣  Cols F-L — Navire, Voyage, POL (🔽 liste), Dates, NBR CNT, Produit</t>
        </is>
      </c>
    </row>
    <row r="12" ht="18" customHeight="1">
      <c r="B12" s="39" t="inlineStr">
        <is>
          <t xml:space="preserve">  6️⃣  ✅ Le SOLDE dans BASE CLIENTS se met à jour automatiquement dès la saisie du NBR CNT</t>
        </is>
      </c>
    </row>
    <row r="13" ht="8" customHeight="1">
      <c r="B13" s="35" t="inlineStr"/>
    </row>
    <row r="14" ht="14" customHeight="1">
      <c r="B14" s="36" t="inlineStr">
        <is>
          <t>━━━  AJOUTER UN NOUVEAU CLIENT  ━━━━━━━━━━━━━━━━━━━━━━━━━━━━━━━━━━━━━━━━━━━━━━━━━━━━━━━━━━━━━━━━━━━━━━━━</t>
        </is>
      </c>
    </row>
    <row r="15" ht="6" customHeight="1">
      <c r="B15" s="35" t="inlineStr"/>
    </row>
    <row r="16" ht="18" customHeight="1">
      <c r="B16" s="41" t="inlineStr">
        <is>
          <t xml:space="preserve">  → Aller dans BASE CLIENTS → ajouter une ligne (nom, adresse, N° licence, poids total)</t>
        </is>
      </c>
    </row>
    <row r="17" ht="18" customHeight="1">
      <c r="B17" s="38" t="inlineStr">
        <is>
          <t xml:space="preserve">  → Le nom apparaît AUTOMATIQUEMENT dans la liste déroulante col C de COMMANDES</t>
        </is>
      </c>
    </row>
    <row r="18" ht="18" customHeight="1">
      <c r="B18" s="39" t="inlineStr">
        <is>
          <t xml:space="preserve">  → Si ce client a 2 licences → ajouter 2 lignes avec le même nom mais N° licences différents</t>
        </is>
      </c>
    </row>
    <row r="19" ht="8" customHeight="1">
      <c r="B19" s="35" t="inlineStr"/>
    </row>
    <row r="20" ht="18" customHeight="1">
      <c r="B20" s="42" t="inlineStr">
        <is>
          <t xml:space="preserve">  💬  Pour générer les confirmations :</t>
        </is>
      </c>
    </row>
    <row r="21" ht="18" customHeight="1">
      <c r="B21" s="43" t="inlineStr">
        <is>
          <t xml:space="preserve">       « Voici la base Eden Food à jour — génère les confirmations ⏳ À GÉNÉRER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2026-04-28T12:21:32Z</dcterms:created>
  <dcterms:modified xmlns:dcterms="http://purl.org/dc/terms/" xmlns:xsi="http://www.w3.org/2001/XMLSchema-instance" xsi:type="dcterms:W3CDTF">2026-04-28T12:22:53Z</dcterms:modified>
</cp:coreProperties>
</file>