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1f64fcba776de86/Desktop/MANAGEMENT/BOOKING BANANA/2026/EDENFOOD APP/"/>
    </mc:Choice>
  </mc:AlternateContent>
  <xr:revisionPtr revIDLastSave="64" documentId="8_{49F080A1-9258-437A-9A1B-85D5F83E8D3F}" xr6:coauthVersionLast="47" xr6:coauthVersionMax="47" xr10:uidLastSave="{361D5FD4-F604-4A40-8CDB-2F128C89B385}"/>
  <bookViews>
    <workbookView xWindow="-120" yWindow="-120" windowWidth="29040" windowHeight="15720" xr2:uid="{00000000-000D-0000-FFFF-FFFF00000000}"/>
  </bookViews>
  <sheets>
    <sheet name="CONF COMMANDE" sheetId="1" r:id="rId1"/>
    <sheet name="MODE D'EMPLO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J22" i="1"/>
  <c r="C17" i="1"/>
  <c r="B16" i="1"/>
  <c r="D16" i="1" s="1"/>
  <c r="H5" i="1"/>
  <c r="E17" i="1" l="1"/>
  <c r="H16" i="1"/>
  <c r="E22" i="1" s="1"/>
  <c r="G22" i="1" s="1"/>
  <c r="C22" i="1" l="1"/>
  <c r="H17" i="1"/>
</calcChain>
</file>

<file path=xl/sharedStrings.xml><?xml version="1.0" encoding="utf-8"?>
<sst xmlns="http://schemas.openxmlformats.org/spreadsheetml/2006/main" count="60" uniqueCount="59">
  <si>
    <t>DATE D'ÉMISSION</t>
  </si>
  <si>
    <t>■  DESTINATAIRE</t>
  </si>
  <si>
    <t>■  EDEN FOOD</t>
  </si>
  <si>
    <t>Lake Central Tower
Business Bay – Office 708
Dubai, UAE</t>
  </si>
  <si>
    <t>LICENCE N°</t>
  </si>
  <si>
    <t>logistics@edenfoodtrading.com</t>
  </si>
  <si>
    <t>Contact : Yann Gabguidi</t>
  </si>
  <si>
    <t>NAVIRE</t>
  </si>
  <si>
    <t>N° VOYAGE</t>
  </si>
  <si>
    <t>PORT CHARGEMENT (POL)</t>
  </si>
  <si>
    <t>DATE DÉPART</t>
  </si>
  <si>
    <t>ETA ESTIMÉE</t>
  </si>
  <si>
    <t>NBR
CONTENEURS</t>
  </si>
  <si>
    <t>CRTNS/CNT
(AUTO)</t>
  </si>
  <si>
    <t>TOTAL
CARTONS</t>
  </si>
  <si>
    <t>POIDS UNIT.
(kgs)</t>
  </si>
  <si>
    <t>TOTAL NET
(kgs)</t>
  </si>
  <si>
    <t>PRODUIT</t>
  </si>
  <si>
    <t>BANANE</t>
  </si>
  <si>
    <t>TOTAL :</t>
  </si>
  <si>
    <t>SOLDE AVANT
COMMANDE (kgs)</t>
  </si>
  <si>
    <t>POIDS CETTE
COMMANDE (kgs)</t>
  </si>
  <si>
    <t>SOLDE APRÈS
COMMANDE (kgs)</t>
  </si>
  <si>
    <t>STATUT
LICENCE</t>
  </si>
  <si>
    <t>Cette confirmation de commande est établie sous réserve de disponibilité des emplacements navire. Les quantités sont soumises à la licence phytosanitaire en cours de validité (Loi n°87-17 — Décret n°93-286). EDEN FOOD ne pourra être tenu responsable de toute modification opérée par la compagnie maritime.</t>
  </si>
  <si>
    <t>EDEN FOOD — Logistics Department                    logistics@edenfoodtrading.com  |  +971 56 851 1818</t>
  </si>
  <si>
    <t>CONFIRMATION DE COMMANDE — EDEN FOOD — MODE D'EMPLOI V7</t>
  </si>
  <si>
    <t>TOUT EN KGS + CARTONS RESTANTS AUTOMATIQUES</t>
  </si>
  <si>
    <t>CHAMPS À REMPLIR :</t>
  </si>
  <si>
    <t>• Référence &amp; Semaine  → A5 et D5</t>
  </si>
  <si>
    <t>• Destinataire         → A8:E8</t>
  </si>
  <si>
    <t>• N° Licence           → A10</t>
  </si>
  <si>
    <t>• Poids total lic. kgs → C10 (info référence)</t>
  </si>
  <si>
    <t>• Navire &amp; N° Voyage   → A13 et C13</t>
  </si>
  <si>
    <t>• POL dropdown         → F13  ← MOIN(COSTA RICA) ou TURBO(COLOMBIA)</t>
  </si>
  <si>
    <t>• Date départ &amp; ETA    → I13 et K13</t>
  </si>
  <si>
    <t>• NBR Conteneurs       → A16</t>
  </si>
  <si>
    <t>• SOLDE AVANT (kgs)    → A22  ← SAISIE MANUELLE CLEF</t>
  </si>
  <si>
    <t>CALCULS AUTOMATIQUES :</t>
  </si>
  <si>
    <t>• C22 = Poids commande kgs = H16</t>
  </si>
  <si>
    <t>• F22 = SOLDE APRÈS (kgs) = A22 − H16  ← À COPIER POUR PROCHAINE COMMANDE</t>
  </si>
  <si>
    <t>• G22 = CARTONS RESTANTS = INT(F22 ÷ 18,14)  ← NOUVEAU</t>
  </si>
  <si>
    <t>STATUTS :</t>
  </si>
  <si>
    <t xml:space="preserve">  ✅ OK              → F22 ≥ 58,773.60 kgs</t>
  </si>
  <si>
    <t xml:space="preserve">  ⚠️  ATTENTION       → 19,591.20 ≤ F22 &lt; 58,773.60 kgs</t>
  </si>
  <si>
    <t xml:space="preserve">  🔴 RESTE FAIBLE    → 0 ≤ F22 &lt; 19,591.20 kgs  ← seuil = 1 CNT TURBO</t>
  </si>
  <si>
    <t xml:space="preserve">  ❌ DÉPASSEMENT     → F22 &lt; 0</t>
  </si>
  <si>
    <t>MOT DE PASSE déprotection : eden2026</t>
  </si>
  <si>
    <t>CARTONS
RESTANTS</t>
  </si>
  <si>
    <r>
      <rPr>
        <sz val="24"/>
        <color rgb="FFFFFFFF"/>
        <rFont val="Calibri"/>
        <family val="2"/>
      </rPr>
      <t>CONFIRMATION DE COMMANDE</t>
    </r>
    <r>
      <rPr>
        <sz val="10"/>
        <color rgb="FFFFFFFF"/>
        <rFont val="Calibri"/>
        <family val="2"/>
      </rPr>
      <t xml:space="preserve">
</t>
    </r>
    <r>
      <rPr>
        <sz val="14"/>
        <color rgb="FFFFFFFF"/>
        <rFont val="Calibri"/>
        <family val="2"/>
      </rPr>
      <t>EDEN FOOD
Logistics Department</t>
    </r>
  </si>
  <si>
    <t>CMA CGM EXCELLENCE</t>
  </si>
  <si>
    <t>RÉFÉRENCE                                                                            SEMAINE</t>
  </si>
  <si>
    <t>0DVOPN1MA</t>
  </si>
  <si>
    <t xml:space="preserve">POIDS INITIAL LICENCE (kgs) </t>
  </si>
  <si>
    <t>📊  SUIVI LICENCE  —  Poids en kgs</t>
  </si>
  <si>
    <t>N° LICENCE</t>
  </si>
  <si>
    <t>N° BOOKING</t>
  </si>
  <si>
    <t>MOIN(COSTA RICA)</t>
  </si>
  <si>
    <t>XX/XX/XXXX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</si>
</sst>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CONTENEUR(S)&quot;"/>
  </numFmts>
  <fonts count="43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</font>
    <font>
      <sz val="9"/>
      <color rgb="FF1A1A1A"/>
      <name val="Calibri"/>
      <family val="2"/>
    </font>
    <font>
      <sz val="10"/>
      <color rgb="FF1A1A1A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8"/>
      <color rgb="FF1A1A1A"/>
      <name val="Calibri"/>
      <family val="2"/>
    </font>
    <font>
      <b/>
      <sz val="8"/>
      <color rgb="FF1A4D8F"/>
      <name val="Calibri"/>
      <family val="2"/>
    </font>
    <font>
      <sz val="8.5"/>
      <color rgb="FF1A1A1A"/>
      <name val="Calibri"/>
      <family val="2"/>
    </font>
    <font>
      <b/>
      <sz val="8"/>
      <color rgb="FFFFFFFF"/>
      <name val="Calibri"/>
      <family val="2"/>
    </font>
    <font>
      <b/>
      <sz val="14"/>
      <color rgb="FF1A1A1A"/>
      <name val="Calibri"/>
      <family val="2"/>
    </font>
    <font>
      <b/>
      <sz val="12"/>
      <color rgb="FF1A1A1A"/>
      <name val="Calibri"/>
      <family val="2"/>
    </font>
    <font>
      <b/>
      <sz val="13"/>
      <color rgb="FF1A1A1A"/>
      <name val="Calibri"/>
      <family val="2"/>
    </font>
    <font>
      <b/>
      <sz val="10"/>
      <color rgb="FF1A1A1A"/>
      <name val="Calibri"/>
      <family val="2"/>
    </font>
    <font>
      <b/>
      <sz val="9.5"/>
      <color rgb="FF1A1A1A"/>
      <name val="Calibri"/>
      <family val="2"/>
    </font>
    <font>
      <i/>
      <sz val="8"/>
      <color rgb="FF555555"/>
      <name val="Calibri"/>
      <family val="2"/>
    </font>
    <font>
      <b/>
      <sz val="13"/>
      <color rgb="FF1E8449"/>
      <name val="Calibri"/>
      <family val="2"/>
    </font>
    <font>
      <b/>
      <sz val="13"/>
      <color rgb="FF1A4D8F"/>
      <name val="Calibri"/>
      <family val="2"/>
    </font>
    <font>
      <b/>
      <sz val="10"/>
      <color rgb="FF1E8449"/>
      <name val="Calibri"/>
      <family val="2"/>
    </font>
    <font>
      <b/>
      <i/>
      <sz val="8"/>
      <color rgb="FFE67E22"/>
      <name val="Calibri"/>
      <family val="2"/>
    </font>
    <font>
      <i/>
      <sz val="8"/>
      <color rgb="FF1A1A1A"/>
      <name val="Calibri"/>
      <family val="2"/>
    </font>
    <font>
      <sz val="9"/>
      <color rgb="FFFFFFFF"/>
      <name val="Calibri"/>
      <family val="2"/>
    </font>
    <font>
      <sz val="10"/>
      <color rgb="FFAAAAAA"/>
      <name val="Calibri"/>
      <family val="2"/>
    </font>
    <font>
      <b/>
      <sz val="11"/>
      <color rgb="FF1E8449"/>
      <name val="Calibri"/>
      <family val="2"/>
    </font>
    <font>
      <b/>
      <sz val="11"/>
      <color rgb="FF1A1A1A"/>
      <name val="Calibri"/>
      <family val="2"/>
    </font>
    <font>
      <b/>
      <sz val="10"/>
      <color rgb="FFC0392B"/>
      <name val="Calibri"/>
      <family val="2"/>
    </font>
    <font>
      <b/>
      <sz val="10"/>
      <color rgb="FF6C3483"/>
      <name val="Calibri"/>
      <family val="2"/>
    </font>
    <font>
      <sz val="10"/>
      <color rgb="FF1E8449"/>
      <name val="Calibri"/>
      <family val="2"/>
    </font>
    <font>
      <sz val="10"/>
      <color rgb="FFE67E22"/>
      <name val="Calibri"/>
      <family val="2"/>
    </font>
    <font>
      <b/>
      <sz val="10"/>
      <color rgb="FFE74C3C"/>
      <name val="Calibri"/>
      <family val="2"/>
    </font>
    <font>
      <sz val="14"/>
      <color rgb="FFFFFFFF"/>
      <name val="Calibri"/>
      <family val="2"/>
    </font>
    <font>
      <sz val="24"/>
      <color rgb="FFFFFFFF"/>
      <name val="Calibri"/>
      <family val="2"/>
    </font>
    <font>
      <b/>
      <i/>
      <sz val="10"/>
      <name val="Calibri"/>
      <family val="2"/>
    </font>
    <font>
      <b/>
      <sz val="11"/>
      <name val="Calibri"/>
      <family val="2"/>
      <scheme val="minor"/>
    </font>
    <font>
      <i/>
      <sz val="10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sz val="9.5"/>
      <name val="Calibri"/>
      <family val="2"/>
    </font>
    <font>
      <i/>
      <sz val="9.5"/>
      <name val="Calibri"/>
      <family val="2"/>
    </font>
    <font>
      <sz val="11"/>
      <name val="Calibri"/>
      <family val="2"/>
    </font>
    <font>
      <b/>
      <sz val="18"/>
      <color rgb="FF6C3483"/>
      <name val="Calibri"/>
      <family val="2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1A1A"/>
      </patternFill>
    </fill>
    <fill>
      <patternFill patternType="solid">
        <fgColor rgb="FFF9F9F9"/>
      </patternFill>
    </fill>
    <fill>
      <patternFill patternType="solid">
        <fgColor rgb="FFF4F4F4"/>
      </patternFill>
    </fill>
    <fill>
      <patternFill patternType="solid">
        <fgColor rgb="FFF0F0F0"/>
      </patternFill>
    </fill>
    <fill>
      <patternFill patternType="solid">
        <fgColor rgb="FFE8F8F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indexed="64"/>
      </left>
      <right style="thin">
        <color rgb="FF1A1A1A"/>
      </right>
      <top style="thin">
        <color rgb="FF1A1A1A"/>
      </top>
      <bottom/>
      <diagonal/>
    </border>
    <border>
      <left style="thin">
        <color theme="0" tint="-0.499984740745262"/>
      </left>
      <right style="thin">
        <color rgb="FFDDDDDD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DDDDDD"/>
      </left>
      <right style="thin">
        <color rgb="FFDDDDDD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1A1A1A"/>
      </left>
      <right style="thin">
        <color indexed="64"/>
      </right>
      <top style="thin">
        <color rgb="FF1A1A1A"/>
      </top>
      <bottom/>
      <diagonal/>
    </border>
    <border>
      <left style="thin">
        <color indexed="64"/>
      </left>
      <right style="medium">
        <color rgb="FF1E8449"/>
      </right>
      <top/>
      <bottom style="thin">
        <color rgb="FF92D050"/>
      </bottom>
      <diagonal/>
    </border>
    <border>
      <left style="thin">
        <color rgb="FF92D050"/>
      </left>
      <right style="thin">
        <color rgb="FFDDDDDD"/>
      </right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 style="thin">
        <color theme="0" tint="-0.499984740745262"/>
      </left>
      <right style="thin">
        <color rgb="FFDDDDDD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3"/>
      </left>
      <right style="medium">
        <color rgb="FF1A4D8F"/>
      </right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rgb="FF7030A0"/>
      </left>
      <right style="medium">
        <color rgb="FF6C3483"/>
      </right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 style="thin">
        <color theme="1"/>
      </left>
      <right style="thin">
        <color rgb="FF1A1A1A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1A1A1A"/>
      </right>
      <top style="thin">
        <color theme="1"/>
      </top>
      <bottom style="thin">
        <color theme="1"/>
      </bottom>
      <diagonal/>
    </border>
    <border>
      <left style="thin">
        <color rgb="FF1A1A1A"/>
      </left>
      <right style="thin">
        <color rgb="FF1A1A1A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rgb="FF1A1A1A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1A1A1A"/>
      </right>
      <top/>
      <bottom style="thin">
        <color theme="0" tint="-0.499984740745262"/>
      </bottom>
      <diagonal/>
    </border>
    <border>
      <left style="thin">
        <color rgb="FFDDDDDD"/>
      </left>
      <right style="thin">
        <color rgb="FFDDDDDD"/>
      </right>
      <top/>
      <bottom style="thin">
        <color theme="0" tint="-0.499984740745262"/>
      </bottom>
      <diagonal/>
    </border>
    <border>
      <left style="thin">
        <color rgb="FFCCCCCC"/>
      </left>
      <right style="thin">
        <color rgb="FFCCCCCC"/>
      </right>
      <top/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0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0" fillId="0" borderId="2" xfId="0" applyBorder="1"/>
    <xf numFmtId="0" fontId="35" fillId="0" borderId="2" xfId="0" applyFont="1" applyBorder="1"/>
    <xf numFmtId="0" fontId="0" fillId="2" borderId="4" xfId="0" applyFill="1" applyBorder="1"/>
    <xf numFmtId="0" fontId="0" fillId="2" borderId="5" xfId="0" applyFill="1" applyBorder="1"/>
    <xf numFmtId="0" fontId="0" fillId="0" borderId="8" xfId="0" applyBorder="1"/>
    <xf numFmtId="0" fontId="0" fillId="0" borderId="7" xfId="0" applyBorder="1"/>
    <xf numFmtId="0" fontId="2" fillId="2" borderId="0" xfId="0" applyFont="1" applyFill="1" applyAlignment="1">
      <alignment vertical="top" wrapText="1"/>
    </xf>
    <xf numFmtId="0" fontId="0" fillId="3" borderId="7" xfId="0" applyFill="1" applyBorder="1"/>
    <xf numFmtId="0" fontId="0" fillId="0" borderId="0" xfId="0"/>
    <xf numFmtId="0" fontId="0" fillId="0" borderId="8" xfId="0" applyBorder="1"/>
    <xf numFmtId="0" fontId="1" fillId="3" borderId="5" xfId="0" applyFont="1" applyFill="1" applyBorder="1" applyAlignment="1">
      <alignment horizontal="left" vertical="center" wrapText="1" indent="2"/>
    </xf>
    <xf numFmtId="0" fontId="0" fillId="0" borderId="5" xfId="0" applyBorder="1"/>
    <xf numFmtId="0" fontId="0" fillId="0" borderId="6" xfId="0" applyBorder="1"/>
    <xf numFmtId="3" fontId="10" fillId="4" borderId="37" xfId="0" applyNumberFormat="1" applyFont="1" applyFill="1" applyBorder="1" applyAlignment="1" applyProtection="1">
      <alignment horizontal="center" vertical="center" wrapText="1"/>
      <protection locked="0"/>
    </xf>
    <xf numFmtId="0" fontId="37" fillId="4" borderId="7" xfId="0" applyFont="1" applyFill="1" applyBorder="1" applyAlignment="1" applyProtection="1">
      <alignment horizontal="left" vertical="top" wrapText="1"/>
      <protection locked="0"/>
    </xf>
    <xf numFmtId="0" fontId="35" fillId="0" borderId="0" xfId="0" applyFont="1" applyProtection="1">
      <protection locked="0"/>
    </xf>
    <xf numFmtId="0" fontId="37" fillId="5" borderId="7" xfId="0" applyFont="1" applyFill="1" applyBorder="1" applyAlignment="1">
      <alignment horizontal="left" vertical="center" wrapText="1"/>
    </xf>
    <xf numFmtId="0" fontId="35" fillId="0" borderId="0" xfId="0" applyFont="1"/>
    <xf numFmtId="164" fontId="14" fillId="5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9" fillId="3" borderId="33" xfId="0" applyFont="1" applyFill="1" applyBorder="1" applyAlignment="1">
      <alignment horizontal="center" vertical="center" wrapText="1"/>
    </xf>
    <xf numFmtId="0" fontId="0" fillId="0" borderId="34" xfId="0" applyBorder="1"/>
    <xf numFmtId="0" fontId="13" fillId="5" borderId="0" xfId="0" applyFont="1" applyFill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 applyProtection="1">
      <alignment horizontal="center" vertical="center" wrapText="1"/>
      <protection locked="0"/>
    </xf>
    <xf numFmtId="0" fontId="35" fillId="0" borderId="2" xfId="0" applyFont="1" applyBorder="1" applyAlignment="1" applyProtection="1">
      <alignment horizontal="center"/>
      <protection locked="0"/>
    </xf>
    <xf numFmtId="0" fontId="38" fillId="4" borderId="15" xfId="0" applyFont="1" applyFill="1" applyBorder="1" applyAlignment="1" applyProtection="1">
      <alignment horizontal="center" vertical="center" wrapText="1"/>
      <protection locked="0"/>
    </xf>
    <xf numFmtId="0" fontId="35" fillId="0" borderId="17" xfId="0" applyFont="1" applyBorder="1" applyProtection="1">
      <protection locked="0"/>
    </xf>
    <xf numFmtId="0" fontId="37" fillId="5" borderId="0" xfId="0" applyFont="1" applyFill="1" applyAlignment="1">
      <alignment horizontal="left" vertical="center" wrapText="1"/>
    </xf>
    <xf numFmtId="0" fontId="5" fillId="3" borderId="40" xfId="0" applyFont="1" applyFill="1" applyBorder="1" applyAlignment="1">
      <alignment horizontal="left" vertical="center" indent="2"/>
    </xf>
    <xf numFmtId="0" fontId="0" fillId="0" borderId="31" xfId="0" applyBorder="1"/>
    <xf numFmtId="0" fontId="9" fillId="3" borderId="13" xfId="0" applyFont="1" applyFill="1" applyBorder="1" applyAlignment="1">
      <alignment horizontal="center" vertical="center" wrapText="1"/>
    </xf>
    <xf numFmtId="14" fontId="38" fillId="4" borderId="15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6" xfId="0" applyFont="1" applyBorder="1" applyProtection="1">
      <protection locked="0"/>
    </xf>
    <xf numFmtId="0" fontId="21" fillId="3" borderId="9" xfId="0" applyFont="1" applyFill="1" applyBorder="1" applyAlignment="1">
      <alignment horizontal="left" vertical="center" indent="2"/>
    </xf>
    <xf numFmtId="0" fontId="0" fillId="0" borderId="10" xfId="0" applyBorder="1"/>
    <xf numFmtId="0" fontId="0" fillId="0" borderId="11" xfId="0" applyBorder="1"/>
    <xf numFmtId="0" fontId="9" fillId="3" borderId="14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3" fontId="11" fillId="4" borderId="38" xfId="0" applyNumberFormat="1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32" xfId="0" applyBorder="1"/>
    <xf numFmtId="0" fontId="38" fillId="4" borderId="18" xfId="0" applyFont="1" applyFill="1" applyBorder="1" applyAlignment="1" applyProtection="1">
      <alignment horizontal="center" vertical="center" wrapText="1"/>
      <protection locked="0"/>
    </xf>
    <xf numFmtId="3" fontId="40" fillId="8" borderId="28" xfId="0" applyNumberFormat="1" applyFont="1" applyFill="1" applyBorder="1" applyAlignment="1">
      <alignment horizontal="center" vertical="center" wrapText="1"/>
    </xf>
    <xf numFmtId="0" fontId="41" fillId="8" borderId="29" xfId="0" applyFont="1" applyFill="1" applyBorder="1"/>
    <xf numFmtId="0" fontId="20" fillId="2" borderId="7" xfId="0" applyFont="1" applyFill="1" applyBorder="1" applyAlignment="1">
      <alignment horizontal="left" vertical="center" wrapText="1" indent="1"/>
    </xf>
    <xf numFmtId="0" fontId="18" fillId="7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19" fillId="0" borderId="7" xfId="0" applyFont="1" applyBorder="1" applyAlignment="1">
      <alignment horizontal="left" vertical="center" indent="1"/>
    </xf>
    <xf numFmtId="4" fontId="16" fillId="7" borderId="2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/>
    <xf numFmtId="0" fontId="13" fillId="4" borderId="12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>
      <alignment horizontal="center" vertical="center" wrapText="1"/>
    </xf>
    <xf numFmtId="4" fontId="12" fillId="4" borderId="24" xfId="0" applyNumberFormat="1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left" vertical="center" indent="2"/>
    </xf>
    <xf numFmtId="4" fontId="17" fillId="8" borderId="26" xfId="0" applyNumberFormat="1" applyFont="1" applyFill="1" applyBorder="1" applyAlignment="1">
      <alignment horizontal="center" vertical="center" wrapText="1"/>
    </xf>
    <xf numFmtId="0" fontId="0" fillId="8" borderId="27" xfId="0" applyFill="1" applyBorder="1"/>
    <xf numFmtId="0" fontId="7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" fontId="34" fillId="4" borderId="3" xfId="0" applyNumberFormat="1" applyFont="1" applyFill="1" applyBorder="1" applyAlignment="1" applyProtection="1">
      <alignment horizontal="center" vertical="center" wrapText="1"/>
      <protection locked="0"/>
    </xf>
    <xf numFmtId="4" fontId="3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2" borderId="8" xfId="0" applyFont="1" applyFill="1" applyBorder="1" applyAlignment="1">
      <alignment vertical="center"/>
    </xf>
    <xf numFmtId="2" fontId="39" fillId="4" borderId="39" xfId="0" applyNumberFormat="1" applyFont="1" applyFill="1" applyBorder="1" applyAlignment="1">
      <alignment horizontal="center" vertical="center" wrapText="1"/>
    </xf>
    <xf numFmtId="0" fontId="35" fillId="0" borderId="25" xfId="0" applyFont="1" applyBorder="1"/>
    <xf numFmtId="4" fontId="11" fillId="4" borderId="24" xfId="0" applyNumberFormat="1" applyFont="1" applyFill="1" applyBorder="1" applyAlignment="1">
      <alignment horizontal="center" vertical="center" wrapText="1"/>
    </xf>
    <xf numFmtId="0" fontId="42" fillId="0" borderId="25" xfId="0" applyFont="1" applyBorder="1"/>
    <xf numFmtId="0" fontId="42" fillId="0" borderId="36" xfId="0" applyFont="1" applyBorder="1"/>
    <xf numFmtId="0" fontId="2" fillId="4" borderId="7" xfId="0" applyFont="1" applyFill="1" applyBorder="1" applyAlignment="1">
      <alignment horizontal="left" vertical="center" wrapText="1"/>
    </xf>
    <xf numFmtId="0" fontId="36" fillId="4" borderId="0" xfId="0" applyFont="1" applyFill="1" applyAlignment="1" applyProtection="1">
      <alignment horizontal="left" vertical="center" wrapText="1"/>
      <protection locked="0"/>
    </xf>
    <xf numFmtId="14" fontId="3" fillId="4" borderId="0" xfId="0" applyNumberFormat="1" applyFont="1" applyFill="1" applyAlignment="1" applyProtection="1">
      <alignment horizontal="right" vertical="center" wrapText="1"/>
      <protection locked="0"/>
    </xf>
    <xf numFmtId="0" fontId="0" fillId="0" borderId="0" xfId="0" applyProtection="1">
      <protection locked="0"/>
    </xf>
    <xf numFmtId="14" fontId="38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32" fillId="4" borderId="7" xfId="0" applyFont="1" applyFill="1" applyBorder="1" applyAlignment="1" applyProtection="1">
      <alignment horizontal="left" vertical="center" wrapText="1"/>
      <protection locked="0"/>
    </xf>
    <xf numFmtId="0" fontId="33" fillId="0" borderId="0" xfId="0" applyFont="1" applyProtection="1">
      <protection locked="0"/>
    </xf>
    <xf numFmtId="0" fontId="35" fillId="0" borderId="17" xfId="0" applyFont="1" applyBorder="1"/>
    <xf numFmtId="0" fontId="4" fillId="4" borderId="7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4">
    <dxf>
      <font>
        <b/>
        <sz val="10"/>
        <color rgb="FF1E8449"/>
        <name val="Calibri"/>
      </font>
      <fill>
        <patternFill patternType="solid">
          <fgColor rgb="FFE8F8F0"/>
        </patternFill>
      </fill>
    </dxf>
    <dxf>
      <font>
        <b/>
        <sz val="10"/>
        <color rgb="FFE67E22"/>
        <name val="Calibri"/>
      </font>
      <fill>
        <patternFill patternType="solid">
          <fgColor rgb="FFFEF5E7"/>
        </patternFill>
      </fill>
    </dxf>
    <dxf>
      <font>
        <b/>
        <sz val="10"/>
        <color rgb="FFE74C3C"/>
        <name val="Calibri"/>
      </font>
      <fill>
        <patternFill patternType="solid">
          <fgColor rgb="FFFDEDEC"/>
        </patternFill>
      </fill>
    </dxf>
    <dxf>
      <font>
        <b/>
        <sz val="10"/>
        <color rgb="FFC0392B"/>
        <name val="Calibri"/>
      </font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312549</xdr:colOff>
      <xdr:row>1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57119C9-8ED0-4FCE-874C-B78FC381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03449" cy="1181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showGridLines="0" showRowColHeaders="0" tabSelected="1" workbookViewId="0">
      <selection activeCell="A22" sqref="A22:B22"/>
    </sheetView>
  </sheetViews>
  <sheetFormatPr baseColWidth="10" defaultColWidth="9.140625" defaultRowHeight="15" x14ac:dyDescent="0.25"/>
  <cols>
    <col min="1" max="1" width="22" customWidth="1"/>
    <col min="2" max="2" width="3.42578125" customWidth="1"/>
    <col min="3" max="3" width="16" customWidth="1"/>
    <col min="4" max="4" width="8" customWidth="1"/>
    <col min="5" max="5" width="1.42578125" customWidth="1"/>
    <col min="6" max="6" width="16" customWidth="1"/>
    <col min="7" max="7" width="8" customWidth="1"/>
    <col min="8" max="8" width="18" customWidth="1"/>
    <col min="9" max="9" width="2" customWidth="1"/>
    <col min="10" max="10" width="22" customWidth="1"/>
    <col min="11" max="11" width="12" customWidth="1"/>
  </cols>
  <sheetData>
    <row r="1" spans="1:11" ht="86.45" customHeight="1" x14ac:dyDescent="0.25">
      <c r="A1" s="13"/>
      <c r="B1" s="14"/>
      <c r="C1" s="14"/>
      <c r="D1" s="14"/>
      <c r="E1" s="14"/>
      <c r="F1" s="21" t="s">
        <v>49</v>
      </c>
      <c r="G1" s="22"/>
      <c r="H1" s="22"/>
      <c r="I1" s="22"/>
      <c r="J1" s="22"/>
      <c r="K1" s="23"/>
    </row>
    <row r="2" spans="1:11" ht="14.1" customHeight="1" x14ac:dyDescent="0.25">
      <c r="A2" s="18"/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8.1" customHeight="1" x14ac:dyDescent="0.25">
      <c r="A3" s="16"/>
      <c r="K3" s="15"/>
    </row>
    <row r="4" spans="1:11" ht="16.5" customHeight="1" x14ac:dyDescent="0.25">
      <c r="A4" s="84" t="s">
        <v>51</v>
      </c>
      <c r="B4" s="19"/>
      <c r="C4" s="19"/>
      <c r="D4" s="19"/>
      <c r="E4" s="19"/>
      <c r="F4" s="19"/>
      <c r="G4" s="19"/>
      <c r="H4" s="50" t="s">
        <v>0</v>
      </c>
      <c r="I4" s="19"/>
      <c r="J4" s="19"/>
      <c r="K4" s="20"/>
    </row>
    <row r="5" spans="1:11" ht="16.5" customHeight="1" x14ac:dyDescent="0.25">
      <c r="A5" s="89" t="s">
        <v>56</v>
      </c>
      <c r="B5" s="90"/>
      <c r="C5" s="90"/>
      <c r="D5" s="85" t="e">
        <f>WEEKNUM(I13)</f>
        <v>#VALUE!</v>
      </c>
      <c r="E5" s="26"/>
      <c r="F5" s="26"/>
      <c r="G5" s="26"/>
      <c r="H5" s="86">
        <f ca="1">NOW()</f>
        <v>46142.749260879631</v>
      </c>
      <c r="I5" s="87"/>
      <c r="J5" s="87"/>
      <c r="K5" s="20"/>
    </row>
    <row r="6" spans="1:11" ht="6" customHeight="1" x14ac:dyDescent="0.25">
      <c r="A6" s="16"/>
      <c r="K6" s="15"/>
    </row>
    <row r="7" spans="1:11" ht="21.6" customHeight="1" x14ac:dyDescent="0.25">
      <c r="A7" s="92" t="s">
        <v>1</v>
      </c>
      <c r="B7" s="19"/>
      <c r="C7" s="19"/>
      <c r="D7" s="19"/>
      <c r="E7" s="19"/>
      <c r="F7" s="40" t="s">
        <v>2</v>
      </c>
      <c r="G7" s="32"/>
      <c r="H7" s="32"/>
      <c r="I7" s="32"/>
      <c r="J7" s="32"/>
      <c r="K7" s="41"/>
    </row>
    <row r="8" spans="1:11" ht="54.95" customHeight="1" x14ac:dyDescent="0.25">
      <c r="A8" s="25"/>
      <c r="B8" s="26"/>
      <c r="C8" s="26"/>
      <c r="D8" s="26"/>
      <c r="E8" s="26"/>
      <c r="F8" s="17" t="s">
        <v>3</v>
      </c>
      <c r="K8" s="15"/>
    </row>
    <row r="9" spans="1:11" x14ac:dyDescent="0.25">
      <c r="A9" s="93" t="s">
        <v>4</v>
      </c>
      <c r="B9" s="94"/>
      <c r="C9" s="71" t="s">
        <v>53</v>
      </c>
      <c r="D9" s="72"/>
      <c r="E9" s="11"/>
      <c r="F9" s="75" t="s">
        <v>5</v>
      </c>
      <c r="G9" s="75"/>
      <c r="H9" s="75"/>
      <c r="I9" s="75"/>
      <c r="J9" s="75"/>
      <c r="K9" s="76"/>
    </row>
    <row r="10" spans="1:11" ht="21.95" customHeight="1" x14ac:dyDescent="0.25">
      <c r="A10" s="35" t="s">
        <v>55</v>
      </c>
      <c r="B10" s="36"/>
      <c r="C10" s="73"/>
      <c r="D10" s="74"/>
      <c r="E10" s="12"/>
      <c r="F10" s="77" t="s">
        <v>6</v>
      </c>
      <c r="G10" s="77"/>
      <c r="H10" s="77"/>
      <c r="I10" s="77"/>
      <c r="J10" s="77"/>
      <c r="K10" s="78"/>
    </row>
    <row r="11" spans="1:11" ht="9.9499999999999993" customHeight="1" x14ac:dyDescent="0.25">
      <c r="A11" s="16"/>
      <c r="K11" s="15"/>
    </row>
    <row r="12" spans="1:11" ht="27.6" customHeight="1" x14ac:dyDescent="0.25">
      <c r="A12" s="48" t="s">
        <v>7</v>
      </c>
      <c r="B12" s="19"/>
      <c r="C12" s="42" t="s">
        <v>8</v>
      </c>
      <c r="D12" s="19"/>
      <c r="E12" s="19"/>
      <c r="F12" s="42" t="s">
        <v>9</v>
      </c>
      <c r="G12" s="19"/>
      <c r="H12" s="19"/>
      <c r="I12" s="42" t="s">
        <v>10</v>
      </c>
      <c r="J12" s="19"/>
      <c r="K12" s="34" t="s">
        <v>11</v>
      </c>
    </row>
    <row r="13" spans="1:11" ht="27.75" customHeight="1" x14ac:dyDescent="0.25">
      <c r="A13" s="37" t="s">
        <v>50</v>
      </c>
      <c r="B13" s="38"/>
      <c r="C13" s="54" t="s">
        <v>52</v>
      </c>
      <c r="D13" s="38"/>
      <c r="E13" s="38"/>
      <c r="F13" s="54" t="s">
        <v>57</v>
      </c>
      <c r="G13" s="91"/>
      <c r="H13" s="91"/>
      <c r="I13" s="43" t="s">
        <v>58</v>
      </c>
      <c r="J13" s="44"/>
      <c r="K13" s="88" t="s">
        <v>58</v>
      </c>
    </row>
    <row r="14" spans="1:11" ht="8.85" customHeight="1" x14ac:dyDescent="0.25">
      <c r="A14" s="16"/>
      <c r="K14" s="15"/>
    </row>
    <row r="15" spans="1:11" ht="27.6" customHeight="1" x14ac:dyDescent="0.25">
      <c r="A15" s="49" t="s">
        <v>12</v>
      </c>
      <c r="B15" s="31" t="s">
        <v>13</v>
      </c>
      <c r="C15" s="32"/>
      <c r="D15" s="31" t="s">
        <v>14</v>
      </c>
      <c r="E15" s="32"/>
      <c r="F15" s="31" t="s">
        <v>15</v>
      </c>
      <c r="G15" s="32"/>
      <c r="H15" s="49" t="s">
        <v>16</v>
      </c>
      <c r="I15" s="32"/>
      <c r="J15" s="41"/>
      <c r="K15" s="64" t="s">
        <v>17</v>
      </c>
    </row>
    <row r="16" spans="1:11" ht="30" customHeight="1" x14ac:dyDescent="0.25">
      <c r="A16" s="24">
        <v>0</v>
      </c>
      <c r="B16" s="51">
        <f>IF(F13="MOIN(COSTA RICA)",1200,IF(F13="TURBO(COLOMBIA)",1080,0))</f>
        <v>1200</v>
      </c>
      <c r="C16" s="52"/>
      <c r="D16" s="51">
        <f>IF(B16=0,0,A16*B16)</f>
        <v>0</v>
      </c>
      <c r="E16" s="52"/>
      <c r="F16" s="79">
        <v>18.14</v>
      </c>
      <c r="G16" s="80"/>
      <c r="H16" s="81">
        <f>IF(D16=0,0,D16*F16)</f>
        <v>0</v>
      </c>
      <c r="I16" s="82"/>
      <c r="J16" s="83"/>
      <c r="K16" s="63" t="s">
        <v>18</v>
      </c>
    </row>
    <row r="17" spans="1:11" ht="22.5" customHeight="1" x14ac:dyDescent="0.25">
      <c r="A17" s="27" t="s">
        <v>19</v>
      </c>
      <c r="B17" s="28"/>
      <c r="C17" s="29">
        <f>A16</f>
        <v>0</v>
      </c>
      <c r="D17" s="30"/>
      <c r="E17" s="39" t="str">
        <f>TEXT(D16,"#,##0")&amp;" CARTONS"</f>
        <v>,0 CARTONS</v>
      </c>
      <c r="F17" s="28"/>
      <c r="G17" s="28"/>
      <c r="H17" s="33" t="str">
        <f>TEXT(H16,"#,##0.00")&amp;" kgs"</f>
        <v>,0.00 kgs</v>
      </c>
      <c r="I17" s="19"/>
      <c r="J17" s="19"/>
      <c r="K17" s="20"/>
    </row>
    <row r="18" spans="1:11" ht="8.1" customHeight="1" x14ac:dyDescent="0.25">
      <c r="A18" s="16"/>
      <c r="K18" s="15"/>
    </row>
    <row r="19" spans="1:11" ht="18" customHeight="1" x14ac:dyDescent="0.25">
      <c r="A19" s="68" t="s">
        <v>54</v>
      </c>
      <c r="B19" s="19"/>
      <c r="C19" s="19"/>
      <c r="D19" s="19"/>
      <c r="E19" s="19"/>
      <c r="F19" s="19"/>
      <c r="G19" s="19"/>
      <c r="H19" s="19"/>
      <c r="I19" s="19"/>
      <c r="J19" s="19"/>
      <c r="K19" s="20"/>
    </row>
    <row r="20" spans="1:11" ht="12.95" customHeight="1" x14ac:dyDescent="0.25">
      <c r="A20" s="67"/>
      <c r="B20" s="19"/>
      <c r="C20" s="19"/>
      <c r="D20" s="19"/>
      <c r="E20" s="19"/>
      <c r="F20" s="19"/>
      <c r="G20" s="19"/>
      <c r="H20" s="19"/>
      <c r="I20" s="19"/>
      <c r="J20" s="19"/>
      <c r="K20" s="20"/>
    </row>
    <row r="21" spans="1:11" ht="30" customHeight="1" x14ac:dyDescent="0.25">
      <c r="A21" s="49" t="s">
        <v>20</v>
      </c>
      <c r="B21" s="53"/>
      <c r="C21" s="31" t="s">
        <v>21</v>
      </c>
      <c r="D21" s="32"/>
      <c r="E21" s="31" t="s">
        <v>22</v>
      </c>
      <c r="F21" s="32"/>
      <c r="G21" s="31" t="s">
        <v>48</v>
      </c>
      <c r="H21" s="32"/>
      <c r="I21" s="32"/>
      <c r="J21" s="66" t="s">
        <v>23</v>
      </c>
      <c r="K21" s="41"/>
    </row>
    <row r="22" spans="1:11" ht="38.1" customHeight="1" x14ac:dyDescent="0.35">
      <c r="A22" s="61">
        <v>0</v>
      </c>
      <c r="B22" s="62"/>
      <c r="C22" s="65">
        <f>IF(H16=0,0,H16)</f>
        <v>0</v>
      </c>
      <c r="D22" s="52"/>
      <c r="E22" s="69">
        <f>IF(A22="","",A22-H16)</f>
        <v>0</v>
      </c>
      <c r="F22" s="70"/>
      <c r="G22" s="55">
        <f>E22/18.14</f>
        <v>0</v>
      </c>
      <c r="H22" s="56"/>
      <c r="I22" s="56"/>
      <c r="J22" s="58" t="str">
        <f>IF(A22="","⏳ SAISIR SOLDE AVANT",IF(F22&lt;0,"❌ DÉPASSEMENT — SOLDE NÉGATIF",IF(F22&lt;19591.2,"🔴 RESTE À CHARGER FAIBLE",IF(F22&lt;58773.6,"⚠️ ATTENTION — SURVEILLER","✅ OK — SOLDE SUFFISANT"))))</f>
        <v>🔴 RESTE À CHARGER FAIBLE</v>
      </c>
      <c r="K22" s="59"/>
    </row>
    <row r="23" spans="1:11" ht="14.1" customHeight="1" x14ac:dyDescent="0.25">
      <c r="A23" s="60"/>
      <c r="B23" s="19"/>
      <c r="C23" s="19"/>
      <c r="D23" s="19"/>
      <c r="E23" s="19"/>
      <c r="F23" s="19"/>
      <c r="G23" s="19"/>
      <c r="H23" s="19"/>
      <c r="I23" s="19"/>
      <c r="J23" s="19"/>
      <c r="K23" s="20"/>
    </row>
    <row r="24" spans="1:11" ht="8.1" customHeight="1" x14ac:dyDescent="0.25">
      <c r="A24" s="16"/>
      <c r="K24" s="15"/>
    </row>
    <row r="25" spans="1:11" ht="2.1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20"/>
    </row>
    <row r="26" spans="1:11" ht="50.1" customHeight="1" x14ac:dyDescent="0.25">
      <c r="A26" s="57" t="s">
        <v>24</v>
      </c>
      <c r="B26" s="19"/>
      <c r="C26" s="19"/>
      <c r="D26" s="19"/>
      <c r="E26" s="19"/>
      <c r="F26" s="19"/>
      <c r="G26" s="19"/>
      <c r="H26" s="19"/>
      <c r="I26" s="19"/>
      <c r="J26" s="19"/>
      <c r="K26" s="20"/>
    </row>
    <row r="27" spans="1:11" ht="26.25" customHeight="1" x14ac:dyDescent="0.25">
      <c r="A27" s="45" t="s">
        <v>25</v>
      </c>
      <c r="B27" s="46"/>
      <c r="C27" s="46"/>
      <c r="D27" s="46"/>
      <c r="E27" s="46"/>
      <c r="F27" s="46"/>
      <c r="G27" s="46"/>
      <c r="H27" s="46"/>
      <c r="I27" s="46"/>
      <c r="J27" s="46"/>
      <c r="K27" s="47"/>
    </row>
  </sheetData>
  <mergeCells count="58">
    <mergeCell ref="A4:G4"/>
    <mergeCell ref="D5:G5"/>
    <mergeCell ref="C12:E12"/>
    <mergeCell ref="H5:K5"/>
    <mergeCell ref="K13"/>
    <mergeCell ref="A5:C5"/>
    <mergeCell ref="F13:H13"/>
    <mergeCell ref="A7:E7"/>
    <mergeCell ref="A9:B9"/>
    <mergeCell ref="C9:D9"/>
    <mergeCell ref="C10:D10"/>
    <mergeCell ref="F9:K9"/>
    <mergeCell ref="F10:K10"/>
    <mergeCell ref="B16:C16"/>
    <mergeCell ref="F16:G16"/>
    <mergeCell ref="H16:J16"/>
    <mergeCell ref="F15:G15"/>
    <mergeCell ref="A15"/>
    <mergeCell ref="K16"/>
    <mergeCell ref="K15"/>
    <mergeCell ref="C22:D22"/>
    <mergeCell ref="J21:K21"/>
    <mergeCell ref="A20:K20"/>
    <mergeCell ref="A19:K19"/>
    <mergeCell ref="E22:F22"/>
    <mergeCell ref="E21:F21"/>
    <mergeCell ref="A27:K27"/>
    <mergeCell ref="A12:B12"/>
    <mergeCell ref="H15:J15"/>
    <mergeCell ref="H4:K4"/>
    <mergeCell ref="I12:J12"/>
    <mergeCell ref="D16:E16"/>
    <mergeCell ref="A21:B21"/>
    <mergeCell ref="C21:D21"/>
    <mergeCell ref="C13:E13"/>
    <mergeCell ref="G22:I22"/>
    <mergeCell ref="A26:K26"/>
    <mergeCell ref="J22:K22"/>
    <mergeCell ref="G21:I21"/>
    <mergeCell ref="A23:K23"/>
    <mergeCell ref="A22:B22"/>
    <mergeCell ref="A25:K25"/>
    <mergeCell ref="A2:K2"/>
    <mergeCell ref="F1:K1"/>
    <mergeCell ref="A16"/>
    <mergeCell ref="A8:E8"/>
    <mergeCell ref="A17:B17"/>
    <mergeCell ref="C17:D17"/>
    <mergeCell ref="B15:C15"/>
    <mergeCell ref="D15:E15"/>
    <mergeCell ref="H17:K17"/>
    <mergeCell ref="K12"/>
    <mergeCell ref="A10:B10"/>
    <mergeCell ref="A13:B13"/>
    <mergeCell ref="E17:G17"/>
    <mergeCell ref="F7:K7"/>
    <mergeCell ref="F12:H12"/>
    <mergeCell ref="I13:J13"/>
  </mergeCells>
  <conditionalFormatting sqref="F22:K22">
    <cfRule type="expression" dxfId="3" priority="1">
      <formula>$F$22&lt;0</formula>
    </cfRule>
    <cfRule type="expression" dxfId="2" priority="2">
      <formula>AND($F$22&gt;=0,$F$22&lt;19591.2)</formula>
    </cfRule>
    <cfRule type="expression" dxfId="1" priority="3">
      <formula>AND($F$22&gt;=19591.2,$F$22&lt;58773.6)</formula>
    </cfRule>
    <cfRule type="expression" dxfId="0" priority="4">
      <formula>$F$22&gt;=58773.6</formula>
    </cfRule>
  </conditionalFormatting>
  <dataValidations count="1">
    <dataValidation type="list" showErrorMessage="1" errorTitle="Port" error="MOIN(COSTA RICA) ou TURBO(COLOMBIA)" sqref="F13" xr:uid="{00000000-0002-0000-0000-000000000000}">
      <formula1>"MOIN(COSTA RICA),TURBO(COLOMBIA)"</formula1>
    </dataValidation>
  </dataValidations>
  <pageMargins left="0.25" right="0.25" top="0.75" bottom="0.75" header="0.3" footer="0.3"/>
  <pageSetup paperSize="9"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showGridLines="0" workbookViewId="0">
      <selection activeCell="A27" sqref="A27"/>
    </sheetView>
  </sheetViews>
  <sheetFormatPr baseColWidth="10" defaultColWidth="9.140625" defaultRowHeight="15" x14ac:dyDescent="0.25"/>
  <cols>
    <col min="1" max="1" width="90" customWidth="1"/>
  </cols>
  <sheetData>
    <row r="1" spans="1:1" ht="18.75" x14ac:dyDescent="0.3">
      <c r="A1" s="1" t="s">
        <v>26</v>
      </c>
    </row>
    <row r="2" spans="1:1" x14ac:dyDescent="0.25">
      <c r="A2" s="2"/>
    </row>
    <row r="3" spans="1:1" x14ac:dyDescent="0.25">
      <c r="A3" s="3" t="s">
        <v>27</v>
      </c>
    </row>
    <row r="4" spans="1:1" x14ac:dyDescent="0.25">
      <c r="A4" s="2"/>
    </row>
    <row r="5" spans="1:1" x14ac:dyDescent="0.25">
      <c r="A5" s="4" t="s">
        <v>28</v>
      </c>
    </row>
    <row r="6" spans="1:1" x14ac:dyDescent="0.25">
      <c r="A6" s="2" t="s">
        <v>29</v>
      </c>
    </row>
    <row r="7" spans="1:1" x14ac:dyDescent="0.25">
      <c r="A7" s="2" t="s">
        <v>30</v>
      </c>
    </row>
    <row r="8" spans="1:1" x14ac:dyDescent="0.25">
      <c r="A8" s="2" t="s">
        <v>31</v>
      </c>
    </row>
    <row r="9" spans="1:1" x14ac:dyDescent="0.25">
      <c r="A9" s="2" t="s">
        <v>32</v>
      </c>
    </row>
    <row r="10" spans="1:1" x14ac:dyDescent="0.25">
      <c r="A10" s="2" t="s">
        <v>33</v>
      </c>
    </row>
    <row r="11" spans="1:1" x14ac:dyDescent="0.25">
      <c r="A11" s="5" t="s">
        <v>34</v>
      </c>
    </row>
    <row r="12" spans="1:1" x14ac:dyDescent="0.25">
      <c r="A12" s="2" t="s">
        <v>35</v>
      </c>
    </row>
    <row r="13" spans="1:1" x14ac:dyDescent="0.25">
      <c r="A13" s="5" t="s">
        <v>36</v>
      </c>
    </row>
    <row r="14" spans="1:1" x14ac:dyDescent="0.25">
      <c r="A14" s="6" t="s">
        <v>37</v>
      </c>
    </row>
    <row r="15" spans="1:1" x14ac:dyDescent="0.25">
      <c r="A15" s="2"/>
    </row>
    <row r="16" spans="1:1" x14ac:dyDescent="0.25">
      <c r="A16" s="4" t="s">
        <v>38</v>
      </c>
    </row>
    <row r="17" spans="1:1" x14ac:dyDescent="0.25">
      <c r="A17" s="2" t="s">
        <v>39</v>
      </c>
    </row>
    <row r="18" spans="1:1" x14ac:dyDescent="0.25">
      <c r="A18" s="6" t="s">
        <v>40</v>
      </c>
    </row>
    <row r="19" spans="1:1" x14ac:dyDescent="0.25">
      <c r="A19" s="7" t="s">
        <v>41</v>
      </c>
    </row>
    <row r="20" spans="1:1" x14ac:dyDescent="0.25">
      <c r="A20" s="2"/>
    </row>
    <row r="21" spans="1:1" x14ac:dyDescent="0.25">
      <c r="A21" s="4" t="s">
        <v>42</v>
      </c>
    </row>
    <row r="22" spans="1:1" x14ac:dyDescent="0.25">
      <c r="A22" s="8" t="s">
        <v>43</v>
      </c>
    </row>
    <row r="23" spans="1:1" x14ac:dyDescent="0.25">
      <c r="A23" s="9" t="s">
        <v>44</v>
      </c>
    </row>
    <row r="24" spans="1:1" x14ac:dyDescent="0.25">
      <c r="A24" s="10" t="s">
        <v>45</v>
      </c>
    </row>
    <row r="25" spans="1:1" x14ac:dyDescent="0.25">
      <c r="A25" s="5" t="s">
        <v>46</v>
      </c>
    </row>
    <row r="26" spans="1:1" x14ac:dyDescent="0.25">
      <c r="A26" s="2"/>
    </row>
    <row r="27" spans="1:1" x14ac:dyDescent="0.25">
      <c r="A27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CONF COMMANDE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GBAGUIDI</cp:lastModifiedBy>
  <cp:lastPrinted>2026-04-28T08:46:11Z</cp:lastPrinted>
  <dcterms:created xsi:type="dcterms:W3CDTF">2026-04-28T08:18:42Z</dcterms:created>
  <dcterms:modified xsi:type="dcterms:W3CDTF">2026-04-30T13:59:22Z</dcterms:modified>
</cp:coreProperties>
</file>